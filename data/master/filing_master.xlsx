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mie\nportvalidation\data\master\"/>
    </mc:Choice>
  </mc:AlternateContent>
  <xr:revisionPtr revIDLastSave="0" documentId="13_ncr:1_{393D5795-0CE1-4D3F-B7F9-CEDCD717128B}" xr6:coauthVersionLast="47" xr6:coauthVersionMax="47" xr10:uidLastSave="{00000000-0000-0000-0000-000000000000}"/>
  <bookViews>
    <workbookView xWindow="0" yWindow="375" windowWidth="20415" windowHeight="20505" xr2:uid="{00000000-000D-0000-FFFF-FFFF00000000}"/>
  </bookViews>
  <sheets>
    <sheet name="filing" sheetId="1" r:id="rId1"/>
    <sheet name="ris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1" l="1"/>
  <c r="AA39" i="1"/>
  <c r="AA90" i="1"/>
  <c r="AA75" i="1"/>
  <c r="AA14" i="1"/>
  <c r="AA50" i="1"/>
  <c r="AA65" i="1"/>
  <c r="AA54" i="1"/>
  <c r="AA80" i="1"/>
  <c r="AA89" i="1"/>
  <c r="AA11" i="1"/>
  <c r="AA97" i="1"/>
  <c r="AA9" i="1"/>
  <c r="AA28" i="1"/>
  <c r="AA73" i="1"/>
  <c r="AA36" i="1"/>
  <c r="AA71" i="1"/>
  <c r="AA88" i="1"/>
  <c r="AA37" i="1"/>
  <c r="AA33" i="1"/>
  <c r="AA78" i="1"/>
  <c r="AA79" i="1"/>
  <c r="AA22" i="1"/>
  <c r="AA58" i="1"/>
  <c r="AA92" i="1"/>
  <c r="AA72" i="1"/>
  <c r="AA69" i="1"/>
  <c r="AA41" i="1"/>
  <c r="AA42" i="1"/>
  <c r="AA94" i="1"/>
  <c r="AA15" i="1"/>
  <c r="AA66" i="1"/>
  <c r="AA7" i="1"/>
  <c r="AA29" i="1"/>
  <c r="AA5" i="1"/>
  <c r="AA31" i="1"/>
  <c r="AA82" i="1"/>
  <c r="AA49" i="1"/>
  <c r="AA38" i="1"/>
  <c r="AA30" i="1"/>
  <c r="AA60" i="1"/>
  <c r="AA17" i="1"/>
  <c r="AA34" i="1"/>
  <c r="AA67" i="1"/>
  <c r="AA46" i="1"/>
  <c r="AA83" i="1"/>
  <c r="AA95" i="1"/>
  <c r="AA23" i="1"/>
  <c r="AA77" i="1"/>
  <c r="AA99" i="1"/>
  <c r="AA47" i="1"/>
  <c r="AA13" i="1"/>
  <c r="AA61" i="1"/>
  <c r="AA106" i="1"/>
  <c r="AA40" i="1"/>
  <c r="AA102" i="1"/>
  <c r="AA64" i="1"/>
  <c r="AA52" i="1"/>
  <c r="AA87" i="1"/>
  <c r="AA63" i="1"/>
  <c r="AA91" i="1"/>
  <c r="AA18" i="1"/>
  <c r="AA74" i="1"/>
  <c r="AA85" i="1"/>
  <c r="AA76" i="1"/>
  <c r="Z29" i="1"/>
  <c r="Z81" i="1"/>
  <c r="Z13" i="1"/>
  <c r="Z32" i="1"/>
  <c r="Z12" i="1"/>
  <c r="Z58" i="1"/>
  <c r="Z19" i="1"/>
  <c r="Z2" i="1"/>
  <c r="Z68" i="1"/>
  <c r="AB83" i="1"/>
  <c r="Z33" i="1"/>
  <c r="AB88" i="1"/>
  <c r="Z98" i="1"/>
  <c r="AB33" i="1"/>
  <c r="AB38" i="1"/>
  <c r="AB71" i="1"/>
  <c r="Z7" i="1"/>
  <c r="Z90" i="1"/>
  <c r="Z14" i="1"/>
  <c r="Z15" i="1"/>
  <c r="AA98" i="1"/>
  <c r="AA100" i="1"/>
  <c r="AA62" i="1"/>
  <c r="AA19" i="1"/>
  <c r="AA96" i="1"/>
  <c r="AA101" i="1"/>
  <c r="AA26" i="1"/>
  <c r="AA48" i="1"/>
  <c r="AA81" i="1"/>
  <c r="AA55" i="1"/>
  <c r="Z16" i="1"/>
  <c r="Z50" i="1"/>
  <c r="Z59" i="1"/>
  <c r="Z37" i="1"/>
  <c r="Z66" i="1"/>
  <c r="Z63" i="1"/>
  <c r="Z94" i="1"/>
  <c r="Z45" i="1"/>
  <c r="AA43" i="1"/>
  <c r="AA32" i="1"/>
  <c r="Z96" i="1"/>
  <c r="Z70" i="1"/>
  <c r="AA10" i="1"/>
  <c r="AA84" i="1"/>
  <c r="AA93" i="1"/>
  <c r="AA45" i="1"/>
  <c r="AA24" i="1"/>
  <c r="AA105" i="1"/>
  <c r="AA16" i="1"/>
  <c r="AA27" i="1"/>
  <c r="AA57" i="1"/>
  <c r="Z23" i="1"/>
  <c r="AA6" i="1"/>
  <c r="Z101" i="1"/>
  <c r="AA103" i="1"/>
  <c r="AA3" i="1"/>
  <c r="AA53" i="1"/>
  <c r="AA104" i="1"/>
  <c r="AA70" i="1"/>
  <c r="Z10" i="1"/>
  <c r="AA44" i="1"/>
  <c r="Z87" i="1"/>
  <c r="AA56" i="1"/>
  <c r="AA86" i="1"/>
  <c r="Z105" i="1"/>
  <c r="Z103" i="1"/>
  <c r="Z28" i="1"/>
  <c r="Z3" i="1"/>
  <c r="Z91" i="1"/>
  <c r="Z84" i="1"/>
  <c r="AA12" i="1"/>
  <c r="AA25" i="1"/>
  <c r="AA20" i="1"/>
  <c r="AA51" i="1"/>
  <c r="AA2" i="1"/>
  <c r="AA4" i="1"/>
  <c r="AA68" i="1"/>
  <c r="AA59" i="1"/>
  <c r="AA21" i="1"/>
  <c r="AA35" i="1"/>
  <c r="Z40" i="1"/>
  <c r="Z67" i="1"/>
  <c r="Z22" i="1"/>
  <c r="Z95" i="1"/>
  <c r="Z100" i="1"/>
  <c r="Z38" i="1"/>
  <c r="Z92" i="1"/>
  <c r="Z106" i="1"/>
  <c r="Z26" i="1"/>
  <c r="Z99" i="1"/>
  <c r="AB89" i="1"/>
  <c r="AB82" i="1"/>
  <c r="AB24" i="1"/>
  <c r="AB73" i="1"/>
  <c r="AB101" i="1"/>
  <c r="AB75" i="1"/>
  <c r="AB17" i="1"/>
  <c r="AB91" i="1"/>
  <c r="AB58" i="1"/>
  <c r="AB4" i="1"/>
  <c r="Z60" i="1"/>
  <c r="Z49" i="1"/>
  <c r="Z72" i="1"/>
  <c r="Z24" i="1"/>
  <c r="Z47" i="1"/>
  <c r="Z43" i="1"/>
  <c r="Z18" i="1"/>
  <c r="Z77" i="1"/>
  <c r="Z73" i="1"/>
  <c r="Z69" i="1"/>
  <c r="AB12" i="1"/>
  <c r="AB9" i="1"/>
  <c r="AB92" i="1"/>
  <c r="AB20" i="1"/>
  <c r="AB43" i="1"/>
  <c r="AB10" i="1"/>
  <c r="AB81" i="1"/>
  <c r="AB86" i="1"/>
  <c r="AB84" i="1"/>
  <c r="AB32" i="1"/>
  <c r="AB63" i="1"/>
  <c r="AB40" i="1"/>
  <c r="AB47" i="1"/>
  <c r="AB98" i="1"/>
  <c r="AB44" i="1"/>
  <c r="AB53" i="1"/>
  <c r="AB3" i="1"/>
  <c r="AB37" i="1"/>
  <c r="AB28" i="1"/>
  <c r="AB61" i="1"/>
  <c r="AB5" i="1"/>
  <c r="AB23" i="1"/>
  <c r="AB99" i="1"/>
  <c r="AB103" i="1"/>
  <c r="AB2" i="1"/>
  <c r="AB78" i="1"/>
  <c r="AB50" i="1"/>
  <c r="AB51" i="1"/>
  <c r="AB19" i="1"/>
  <c r="AB62" i="1"/>
  <c r="AB6" i="1"/>
  <c r="AB31" i="1"/>
  <c r="AB15" i="1"/>
  <c r="AB95" i="1"/>
  <c r="AB22" i="1"/>
  <c r="AB21" i="1"/>
  <c r="AB80" i="1"/>
  <c r="AB56" i="1"/>
  <c r="AB41" i="1"/>
  <c r="AB34" i="1"/>
  <c r="AB54" i="1"/>
  <c r="AB85" i="1"/>
  <c r="AB76" i="1"/>
  <c r="AB11" i="1"/>
  <c r="AB46" i="1"/>
  <c r="AB69" i="1"/>
  <c r="AB68" i="1"/>
  <c r="AB29" i="1"/>
  <c r="AB93" i="1"/>
  <c r="AB59" i="1"/>
  <c r="AB100" i="1"/>
  <c r="AB65" i="1"/>
  <c r="AB8" i="1"/>
  <c r="AB36" i="1"/>
  <c r="AB55" i="1"/>
  <c r="AB48" i="1"/>
  <c r="AB35" i="1"/>
  <c r="AB42" i="1"/>
  <c r="AB7" i="1"/>
  <c r="AB79" i="1"/>
  <c r="Z54" i="1"/>
  <c r="Z75" i="1"/>
  <c r="Z21" i="1"/>
  <c r="Z31" i="1"/>
  <c r="Z51" i="1"/>
  <c r="Z35" i="1"/>
  <c r="Z61" i="1"/>
  <c r="Z9" i="1"/>
  <c r="Z97" i="1"/>
  <c r="Z83" i="1"/>
  <c r="AB77" i="1"/>
  <c r="AB106" i="1"/>
  <c r="AB14" i="1"/>
  <c r="AB66" i="1"/>
  <c r="AB16" i="1"/>
  <c r="AB102" i="1"/>
  <c r="AB30" i="1"/>
  <c r="AB52" i="1"/>
  <c r="AB39" i="1"/>
  <c r="AB72" i="1"/>
  <c r="Z93" i="1"/>
  <c r="Z74" i="1"/>
  <c r="Z42" i="1"/>
  <c r="Z86" i="1"/>
  <c r="Z8" i="1"/>
  <c r="Z89" i="1"/>
  <c r="Z5" i="1"/>
  <c r="Z62" i="1"/>
  <c r="Z57" i="1"/>
  <c r="Z41" i="1"/>
  <c r="AB64" i="1"/>
  <c r="AB97" i="1"/>
  <c r="AB87" i="1"/>
  <c r="AB105" i="1"/>
  <c r="AB45" i="1"/>
  <c r="AB60" i="1"/>
  <c r="AB13" i="1"/>
  <c r="AB26" i="1"/>
  <c r="AB96" i="1"/>
  <c r="AB94" i="1"/>
  <c r="AB25" i="1"/>
  <c r="AB18" i="1"/>
  <c r="AB57" i="1"/>
  <c r="AB90" i="1"/>
  <c r="AB104" i="1"/>
  <c r="AB70" i="1"/>
  <c r="AB74" i="1"/>
  <c r="AB67" i="1"/>
  <c r="AB49" i="1"/>
  <c r="AB27" i="1"/>
  <c r="Z46" i="1"/>
  <c r="Z11" i="1"/>
  <c r="Z79" i="1"/>
  <c r="Z55" i="1"/>
  <c r="Z36" i="1"/>
  <c r="Z102" i="1"/>
  <c r="Z82" i="1"/>
  <c r="Z17" i="1"/>
  <c r="Z25" i="1"/>
  <c r="Z56" i="1"/>
  <c r="F64" i="2"/>
  <c r="G350" i="2"/>
  <c r="H142" i="2"/>
  <c r="H350" i="2"/>
  <c r="G3" i="2"/>
  <c r="H64" i="2"/>
  <c r="F519" i="2"/>
  <c r="F113" i="2"/>
  <c r="G113" i="2"/>
  <c r="E263" i="2"/>
  <c r="H519" i="2"/>
  <c r="G142" i="2"/>
  <c r="E346" i="2"/>
  <c r="F3" i="2"/>
  <c r="G519" i="2"/>
  <c r="F263" i="2"/>
  <c r="F66" i="2"/>
  <c r="H135" i="2"/>
  <c r="H346" i="2"/>
  <c r="H66" i="2"/>
  <c r="E142" i="2"/>
  <c r="G135" i="2"/>
  <c r="E66" i="2"/>
  <c r="E64" i="2"/>
  <c r="G346" i="2"/>
  <c r="H263" i="2"/>
  <c r="H113" i="2"/>
  <c r="F142" i="2"/>
  <c r="G64" i="2"/>
  <c r="F135" i="2"/>
  <c r="E519" i="2"/>
  <c r="E113" i="2"/>
  <c r="G66" i="2"/>
  <c r="F346" i="2"/>
  <c r="H3" i="2"/>
  <c r="E350" i="2"/>
  <c r="F350" i="2"/>
  <c r="E3" i="2"/>
  <c r="E135" i="2"/>
  <c r="G263" i="2"/>
  <c r="G591" i="2"/>
  <c r="G93" i="2"/>
  <c r="G160" i="2"/>
  <c r="H591" i="2"/>
  <c r="E117" i="2"/>
  <c r="F591" i="2"/>
  <c r="E160" i="2"/>
  <c r="G117" i="2"/>
  <c r="H117" i="2"/>
  <c r="E591" i="2"/>
  <c r="H414" i="2"/>
  <c r="F414" i="2"/>
  <c r="G249" i="2"/>
  <c r="G78" i="2"/>
  <c r="H78" i="2"/>
  <c r="E249" i="2"/>
  <c r="F160" i="2"/>
  <c r="E93" i="2"/>
  <c r="H394" i="2"/>
  <c r="G394" i="2"/>
  <c r="F78" i="2"/>
  <c r="F249" i="2"/>
  <c r="F394" i="2"/>
  <c r="E78" i="2"/>
  <c r="F117" i="2"/>
  <c r="H160" i="2"/>
  <c r="G414" i="2"/>
  <c r="H93" i="2"/>
  <c r="E394" i="2"/>
  <c r="H249" i="2"/>
  <c r="F93" i="2"/>
  <c r="E414" i="2"/>
  <c r="E420" i="2"/>
  <c r="H453" i="2"/>
  <c r="G179" i="2"/>
  <c r="G324" i="2"/>
  <c r="F194" i="2"/>
  <c r="H390" i="2"/>
  <c r="G390" i="2"/>
  <c r="E453" i="2"/>
  <c r="F324" i="2"/>
  <c r="H293" i="2"/>
  <c r="H179" i="2"/>
  <c r="F453" i="2"/>
  <c r="E390" i="2"/>
  <c r="E179" i="2"/>
  <c r="G194" i="2"/>
  <c r="H342" i="2"/>
  <c r="G293" i="2"/>
  <c r="F327" i="2"/>
  <c r="F342" i="2"/>
  <c r="F164" i="2"/>
  <c r="F420" i="2"/>
  <c r="H420" i="2"/>
  <c r="E327" i="2"/>
  <c r="H324" i="2"/>
  <c r="H164" i="2"/>
  <c r="E164" i="2"/>
  <c r="E342" i="2"/>
  <c r="E194" i="2"/>
  <c r="F293" i="2"/>
  <c r="H327" i="2"/>
  <c r="F179" i="2"/>
  <c r="F390" i="2"/>
  <c r="G420" i="2"/>
  <c r="H194" i="2"/>
  <c r="G342" i="2"/>
  <c r="E293" i="2"/>
  <c r="G453" i="2"/>
  <c r="E324" i="2"/>
  <c r="G327" i="2"/>
  <c r="G164" i="2"/>
  <c r="H537" i="2"/>
  <c r="F21" i="2"/>
  <c r="E496" i="2"/>
  <c r="H423" i="2"/>
  <c r="G496" i="2"/>
  <c r="G126" i="2"/>
  <c r="H58" i="2"/>
  <c r="H422" i="2"/>
  <c r="E537" i="2"/>
  <c r="G423" i="2"/>
  <c r="F537" i="2"/>
  <c r="F422" i="2"/>
  <c r="E170" i="2"/>
  <c r="E422" i="2"/>
  <c r="E58" i="2"/>
  <c r="H82" i="2"/>
  <c r="F287" i="2"/>
  <c r="G58" i="2"/>
  <c r="F170" i="2"/>
  <c r="F126" i="2"/>
  <c r="G287" i="2"/>
  <c r="F496" i="2"/>
  <c r="E82" i="2"/>
  <c r="E21" i="2"/>
  <c r="F82" i="2"/>
  <c r="H21" i="2"/>
  <c r="E287" i="2"/>
  <c r="F423" i="2"/>
  <c r="E126" i="2"/>
  <c r="E423" i="2"/>
  <c r="G170" i="2"/>
  <c r="G422" i="2"/>
  <c r="G537" i="2"/>
  <c r="G21" i="2"/>
  <c r="H126" i="2"/>
  <c r="H496" i="2"/>
  <c r="F58" i="2"/>
  <c r="G82" i="2"/>
  <c r="H170" i="2"/>
  <c r="H287" i="2"/>
  <c r="G551" i="2"/>
  <c r="H554" i="2"/>
  <c r="H543" i="2"/>
  <c r="F561" i="2"/>
  <c r="E212" i="2"/>
  <c r="E231" i="2"/>
  <c r="E11" i="2"/>
  <c r="G72" i="2"/>
  <c r="H330" i="2"/>
  <c r="G330" i="2"/>
  <c r="H551" i="2"/>
  <c r="H212" i="2"/>
  <c r="F554" i="2"/>
  <c r="E62" i="2"/>
  <c r="G231" i="2"/>
  <c r="H72" i="2"/>
  <c r="F72" i="2"/>
  <c r="F330" i="2"/>
  <c r="H231" i="2"/>
  <c r="E551" i="2"/>
  <c r="H561" i="2"/>
  <c r="G554" i="2"/>
  <c r="G543" i="2"/>
  <c r="H11" i="2"/>
  <c r="F212" i="2"/>
  <c r="G561" i="2"/>
  <c r="F62" i="2"/>
  <c r="H62" i="2"/>
  <c r="E543" i="2"/>
  <c r="F11" i="2"/>
  <c r="E72" i="2"/>
  <c r="E554" i="2"/>
  <c r="F231" i="2"/>
  <c r="F543" i="2"/>
  <c r="G212" i="2"/>
  <c r="G11" i="2"/>
  <c r="F551" i="2"/>
  <c r="G62" i="2"/>
  <c r="E561" i="2"/>
  <c r="E330" i="2"/>
  <c r="H107" i="2"/>
  <c r="H165" i="2"/>
  <c r="F487" i="2"/>
  <c r="F13" i="2"/>
  <c r="E425" i="2"/>
  <c r="E446" i="2"/>
  <c r="F334" i="2"/>
  <c r="H446" i="2"/>
  <c r="F447" i="2"/>
  <c r="G468" i="2"/>
  <c r="F108" i="2"/>
  <c r="F425" i="2"/>
  <c r="F165" i="2"/>
  <c r="H425" i="2"/>
  <c r="H108" i="2"/>
  <c r="F468" i="2"/>
  <c r="E334" i="2"/>
  <c r="G446" i="2"/>
  <c r="E447" i="2"/>
  <c r="E468" i="2"/>
  <c r="G165" i="2"/>
  <c r="H13" i="2"/>
  <c r="E487" i="2"/>
  <c r="E107" i="2"/>
  <c r="E108" i="2"/>
  <c r="H487" i="2"/>
  <c r="G107" i="2"/>
  <c r="G334" i="2"/>
  <c r="H334" i="2"/>
  <c r="H447" i="2"/>
  <c r="G447" i="2"/>
  <c r="F107" i="2"/>
  <c r="G487" i="2"/>
  <c r="G13" i="2"/>
  <c r="G425" i="2"/>
  <c r="H468" i="2"/>
  <c r="G108" i="2"/>
  <c r="F446" i="2"/>
  <c r="E13" i="2"/>
  <c r="E165" i="2"/>
  <c r="G71" i="2"/>
  <c r="E515" i="2"/>
  <c r="E593" i="2"/>
  <c r="H471" i="2"/>
  <c r="H276" i="2"/>
  <c r="F471" i="2"/>
  <c r="G471" i="2"/>
  <c r="F361" i="2"/>
  <c r="F260" i="2"/>
  <c r="F180" i="2"/>
  <c r="E276" i="2"/>
  <c r="F408" i="2"/>
  <c r="H408" i="2"/>
  <c r="H36" i="2"/>
  <c r="E36" i="2"/>
  <c r="H260" i="2"/>
  <c r="F36" i="2"/>
  <c r="F276" i="2"/>
  <c r="G260" i="2"/>
  <c r="G361" i="2"/>
  <c r="H361" i="2"/>
  <c r="H180" i="2"/>
  <c r="F71" i="2"/>
  <c r="G593" i="2"/>
  <c r="E408" i="2"/>
  <c r="F515" i="2"/>
  <c r="H515" i="2"/>
  <c r="E71" i="2"/>
  <c r="G276" i="2"/>
  <c r="G180" i="2"/>
  <c r="E180" i="2"/>
  <c r="E471" i="2"/>
  <c r="H593" i="2"/>
  <c r="G36" i="2"/>
  <c r="E260" i="2"/>
  <c r="G515" i="2"/>
  <c r="H71" i="2"/>
  <c r="G408" i="2"/>
  <c r="E361" i="2"/>
  <c r="F593" i="2"/>
  <c r="F460" i="2"/>
  <c r="G288" i="2"/>
  <c r="E460" i="2"/>
  <c r="F168" i="2"/>
  <c r="E98" i="2"/>
  <c r="G233" i="2"/>
  <c r="F247" i="2"/>
  <c r="H98" i="2"/>
  <c r="F235" i="2"/>
  <c r="E233" i="2"/>
  <c r="F313" i="2"/>
  <c r="H313" i="2"/>
  <c r="E288" i="2"/>
  <c r="H97" i="2"/>
  <c r="E552" i="2"/>
  <c r="G97" i="2"/>
  <c r="G313" i="2"/>
  <c r="G168" i="2"/>
  <c r="H168" i="2"/>
  <c r="E97" i="2"/>
  <c r="H247" i="2"/>
  <c r="H288" i="2"/>
  <c r="G552" i="2"/>
  <c r="G247" i="2"/>
  <c r="H460" i="2"/>
  <c r="G98" i="2"/>
  <c r="F233" i="2"/>
  <c r="H235" i="2"/>
  <c r="H552" i="2"/>
  <c r="E247" i="2"/>
  <c r="F98" i="2"/>
  <c r="E168" i="2"/>
  <c r="F552" i="2"/>
  <c r="G235" i="2"/>
  <c r="E235" i="2"/>
  <c r="E313" i="2"/>
  <c r="H233" i="2"/>
  <c r="G460" i="2"/>
  <c r="F97" i="2"/>
  <c r="F288" i="2"/>
  <c r="H601" i="2"/>
  <c r="G85" i="2"/>
  <c r="E215" i="2"/>
  <c r="H488" i="2"/>
  <c r="G488" i="2"/>
  <c r="F333" i="2"/>
  <c r="H333" i="2"/>
  <c r="F523" i="2"/>
  <c r="F85" i="2"/>
  <c r="F215" i="2"/>
  <c r="E523" i="2"/>
  <c r="F274" i="2"/>
  <c r="H274" i="2"/>
  <c r="G385" i="2"/>
  <c r="E296" i="2"/>
  <c r="E333" i="2"/>
  <c r="H85" i="2"/>
  <c r="H523" i="2"/>
  <c r="E274" i="2"/>
  <c r="E385" i="2"/>
  <c r="F601" i="2"/>
  <c r="H296" i="2"/>
  <c r="G296" i="2"/>
  <c r="G548" i="2"/>
  <c r="G215" i="2"/>
  <c r="F548" i="2"/>
  <c r="E601" i="2"/>
  <c r="F385" i="2"/>
  <c r="E548" i="2"/>
  <c r="H215" i="2"/>
  <c r="G274" i="2"/>
  <c r="F488" i="2"/>
  <c r="E488" i="2"/>
  <c r="H548" i="2"/>
  <c r="G523" i="2"/>
  <c r="H385" i="2"/>
  <c r="G333" i="2"/>
  <c r="G601" i="2"/>
  <c r="F296" i="2"/>
  <c r="E85" i="2"/>
  <c r="F158" i="2"/>
  <c r="F483" i="2"/>
  <c r="F7" i="2"/>
  <c r="G376" i="2"/>
  <c r="E158" i="2"/>
  <c r="F210" i="2"/>
  <c r="H7" i="2"/>
  <c r="F539" i="2"/>
  <c r="E163" i="2"/>
  <c r="F60" i="2"/>
  <c r="F163" i="2"/>
  <c r="G158" i="2"/>
  <c r="H60" i="2"/>
  <c r="H483" i="2"/>
  <c r="E54" i="2"/>
  <c r="H210" i="2"/>
  <c r="E210" i="2"/>
  <c r="H376" i="2"/>
  <c r="E7" i="2"/>
  <c r="E539" i="2"/>
  <c r="F205" i="2"/>
  <c r="G54" i="2"/>
  <c r="G60" i="2"/>
  <c r="F54" i="2"/>
  <c r="H205" i="2"/>
  <c r="F376" i="2"/>
  <c r="G205" i="2"/>
  <c r="E483" i="2"/>
  <c r="H539" i="2"/>
  <c r="G163" i="2"/>
  <c r="G7" i="2"/>
  <c r="H163" i="2"/>
  <c r="G210" i="2"/>
  <c r="E60" i="2"/>
  <c r="G483" i="2"/>
  <c r="H54" i="2"/>
  <c r="H158" i="2"/>
  <c r="E376" i="2"/>
  <c r="G539" i="2"/>
  <c r="E205" i="2"/>
  <c r="G590" i="2"/>
  <c r="H476" i="2"/>
  <c r="G50" i="2"/>
  <c r="G616" i="2"/>
  <c r="H616" i="2"/>
  <c r="G476" i="2"/>
  <c r="F28" i="2"/>
  <c r="F216" i="2"/>
  <c r="H424" i="2"/>
  <c r="E613" i="2"/>
  <c r="F616" i="2"/>
  <c r="G28" i="2"/>
  <c r="G613" i="2"/>
  <c r="E28" i="2"/>
  <c r="H415" i="2"/>
  <c r="H216" i="2"/>
  <c r="E50" i="2"/>
  <c r="F613" i="2"/>
  <c r="E476" i="2"/>
  <c r="E590" i="2"/>
  <c r="F229" i="2"/>
  <c r="F590" i="2"/>
  <c r="E415" i="2"/>
  <c r="E229" i="2"/>
  <c r="E216" i="2"/>
  <c r="H229" i="2"/>
  <c r="E424" i="2"/>
  <c r="G415" i="2"/>
  <c r="G424" i="2"/>
  <c r="H28" i="2"/>
  <c r="E616" i="2"/>
  <c r="G216" i="2"/>
  <c r="F476" i="2"/>
  <c r="H590" i="2"/>
  <c r="F424" i="2"/>
  <c r="G229" i="2"/>
  <c r="H50" i="2"/>
  <c r="F50" i="2"/>
  <c r="H613" i="2"/>
  <c r="F415" i="2"/>
  <c r="E33" i="2"/>
  <c r="F280" i="2"/>
  <c r="G167" i="2"/>
  <c r="H167" i="2"/>
  <c r="E411" i="2"/>
  <c r="E90" i="2"/>
  <c r="E374" i="2"/>
  <c r="G516" i="2"/>
  <c r="H374" i="2"/>
  <c r="H444" i="2"/>
  <c r="F444" i="2"/>
  <c r="F432" i="2"/>
  <c r="E280" i="2"/>
  <c r="F411" i="2"/>
  <c r="G411" i="2"/>
  <c r="G432" i="2"/>
  <c r="F516" i="2"/>
  <c r="H516" i="2"/>
  <c r="H90" i="2"/>
  <c r="F90" i="2"/>
  <c r="F386" i="2"/>
  <c r="G386" i="2"/>
  <c r="G33" i="2"/>
  <c r="F167" i="2"/>
  <c r="E386" i="2"/>
  <c r="E432" i="2"/>
  <c r="F33" i="2"/>
  <c r="G280" i="2"/>
  <c r="G444" i="2"/>
  <c r="G374" i="2"/>
  <c r="H280" i="2"/>
  <c r="E167" i="2"/>
  <c r="H33" i="2"/>
  <c r="E516" i="2"/>
  <c r="G90" i="2"/>
  <c r="H411" i="2"/>
  <c r="H386" i="2"/>
  <c r="H432" i="2"/>
  <c r="F374" i="2"/>
  <c r="E444" i="2"/>
  <c r="G42" i="2"/>
  <c r="F549" i="2"/>
  <c r="E219" i="2"/>
  <c r="H225" i="2"/>
  <c r="H42" i="2"/>
  <c r="E304" i="2"/>
  <c r="H181" i="2"/>
  <c r="H219" i="2"/>
  <c r="G181" i="2"/>
  <c r="G304" i="2"/>
  <c r="G77" i="2"/>
  <c r="H77" i="2"/>
  <c r="E549" i="2"/>
  <c r="F42" i="2"/>
  <c r="G549" i="2"/>
  <c r="F587" i="2"/>
  <c r="G587" i="2"/>
  <c r="F225" i="2"/>
  <c r="F600" i="2"/>
  <c r="F181" i="2"/>
  <c r="H318" i="2"/>
  <c r="E318" i="2"/>
  <c r="G225" i="2"/>
  <c r="G600" i="2"/>
  <c r="G219" i="2"/>
  <c r="F77" i="2"/>
  <c r="F304" i="2"/>
  <c r="E181" i="2"/>
  <c r="E600" i="2"/>
  <c r="G318" i="2"/>
  <c r="H549" i="2"/>
  <c r="E42" i="2"/>
  <c r="H587" i="2"/>
  <c r="E587" i="2"/>
  <c r="E225" i="2"/>
  <c r="E77" i="2"/>
  <c r="F219" i="2"/>
  <c r="H600" i="2"/>
  <c r="F318" i="2"/>
  <c r="H304" i="2"/>
  <c r="H250" i="2"/>
  <c r="G345" i="2"/>
  <c r="G316" i="2"/>
  <c r="H4" i="2"/>
  <c r="H465" i="2"/>
  <c r="F17" i="2"/>
  <c r="E86" i="2"/>
  <c r="F465" i="2"/>
  <c r="G362" i="2"/>
  <c r="E398" i="2"/>
  <c r="H345" i="2"/>
  <c r="F362" i="2"/>
  <c r="E17" i="2"/>
  <c r="H362" i="2"/>
  <c r="H86" i="2"/>
  <c r="E345" i="2"/>
  <c r="E4" i="2"/>
  <c r="E329" i="2"/>
  <c r="E316" i="2"/>
  <c r="G250" i="2"/>
  <c r="F86" i="2"/>
  <c r="G398" i="2"/>
  <c r="F329" i="2"/>
  <c r="F398" i="2"/>
  <c r="E465" i="2"/>
  <c r="F4" i="2"/>
  <c r="H329" i="2"/>
  <c r="H17" i="2"/>
  <c r="E250" i="2"/>
  <c r="F316" i="2"/>
  <c r="G329" i="2"/>
  <c r="F345" i="2"/>
  <c r="G86" i="2"/>
  <c r="E362" i="2"/>
  <c r="G465" i="2"/>
  <c r="G4" i="2"/>
  <c r="G17" i="2"/>
  <c r="F250" i="2"/>
  <c r="H316" i="2"/>
  <c r="H398" i="2"/>
  <c r="F381" i="2"/>
  <c r="E585" i="2"/>
  <c r="E381" i="2"/>
  <c r="G459" i="2"/>
  <c r="F459" i="2"/>
  <c r="H481" i="2"/>
  <c r="E96" i="2"/>
  <c r="F585" i="2"/>
  <c r="E606" i="2"/>
  <c r="H96" i="2"/>
  <c r="F606" i="2"/>
  <c r="H585" i="2"/>
  <c r="H606" i="2"/>
  <c r="F218" i="2"/>
  <c r="F481" i="2"/>
  <c r="H459" i="2"/>
  <c r="E218" i="2"/>
  <c r="G545" i="2"/>
  <c r="G207" i="2"/>
  <c r="G481" i="2"/>
  <c r="F369" i="2"/>
  <c r="H207" i="2"/>
  <c r="G96" i="2"/>
  <c r="G369" i="2"/>
  <c r="H369" i="2"/>
  <c r="G218" i="2"/>
  <c r="F207" i="2"/>
  <c r="F545" i="2"/>
  <c r="E545" i="2"/>
  <c r="E369" i="2"/>
  <c r="H381" i="2"/>
  <c r="H545" i="2"/>
  <c r="F96" i="2"/>
  <c r="G606" i="2"/>
  <c r="G381" i="2"/>
  <c r="E459" i="2"/>
  <c r="E207" i="2"/>
  <c r="G585" i="2"/>
  <c r="H218" i="2"/>
  <c r="E481" i="2"/>
  <c r="F319" i="2"/>
  <c r="H198" i="2"/>
  <c r="F491" i="2"/>
  <c r="E59" i="2"/>
  <c r="H418" i="2"/>
  <c r="H227" i="2"/>
  <c r="H59" i="2"/>
  <c r="F53" i="2"/>
  <c r="F418" i="2"/>
  <c r="E597" i="2"/>
  <c r="G597" i="2"/>
  <c r="E227" i="2"/>
  <c r="H491" i="2"/>
  <c r="E491" i="2"/>
  <c r="F227" i="2"/>
  <c r="G297" i="2"/>
  <c r="G53" i="2"/>
  <c r="H297" i="2"/>
  <c r="G319" i="2"/>
  <c r="G418" i="2"/>
  <c r="F297" i="2"/>
  <c r="E198" i="2"/>
  <c r="E319" i="2"/>
  <c r="H597" i="2"/>
  <c r="G145" i="2"/>
  <c r="H145" i="2"/>
  <c r="H53" i="2"/>
  <c r="F198" i="2"/>
  <c r="F59" i="2"/>
  <c r="G198" i="2"/>
  <c r="E297" i="2"/>
  <c r="H319" i="2"/>
  <c r="G491" i="2"/>
  <c r="G227" i="2"/>
  <c r="F145" i="2"/>
  <c r="E418" i="2"/>
  <c r="E145" i="2"/>
  <c r="G59" i="2"/>
  <c r="F597" i="2"/>
  <c r="E53" i="2"/>
  <c r="E141" i="2"/>
  <c r="H583" i="2"/>
  <c r="G143" i="2"/>
  <c r="G429" i="2"/>
  <c r="H143" i="2"/>
  <c r="G27" i="2"/>
  <c r="G2" i="2"/>
  <c r="F122" i="2"/>
  <c r="H112" i="2"/>
  <c r="H429" i="2"/>
  <c r="F202" i="2"/>
  <c r="F27" i="2"/>
  <c r="F2" i="2"/>
  <c r="E295" i="2"/>
  <c r="G583" i="2"/>
  <c r="F295" i="2"/>
  <c r="G202" i="2"/>
  <c r="G141" i="2"/>
  <c r="E112" i="2"/>
  <c r="H27" i="2"/>
  <c r="H2" i="2"/>
  <c r="H141" i="2"/>
  <c r="G295" i="2"/>
  <c r="E499" i="2"/>
  <c r="F112" i="2"/>
  <c r="F143" i="2"/>
  <c r="E122" i="2"/>
  <c r="F583" i="2"/>
  <c r="H202" i="2"/>
  <c r="F499" i="2"/>
  <c r="G122" i="2"/>
  <c r="E429" i="2"/>
  <c r="H295" i="2"/>
  <c r="H499" i="2"/>
  <c r="E202" i="2"/>
  <c r="E27" i="2"/>
  <c r="E2" i="2"/>
  <c r="H122" i="2"/>
  <c r="G499" i="2"/>
  <c r="E583" i="2"/>
  <c r="F141" i="2"/>
  <c r="G112" i="2"/>
  <c r="F429" i="2"/>
  <c r="E143" i="2"/>
  <c r="H609" i="2"/>
  <c r="H162" i="2"/>
  <c r="E201" i="2"/>
  <c r="E463" i="2"/>
  <c r="G387" i="2"/>
  <c r="G435" i="2"/>
  <c r="E75" i="2"/>
  <c r="E636" i="2"/>
  <c r="E632" i="2"/>
  <c r="E529" i="2"/>
  <c r="H636" i="2"/>
  <c r="H632" i="2"/>
  <c r="H529" i="2"/>
  <c r="F507" i="2"/>
  <c r="F404" i="2"/>
  <c r="E507" i="2"/>
  <c r="H435" i="2"/>
  <c r="F162" i="2"/>
  <c r="E404" i="2"/>
  <c r="H387" i="2"/>
  <c r="G507" i="2"/>
  <c r="G162" i="2"/>
  <c r="F609" i="2"/>
  <c r="G609" i="2"/>
  <c r="G75" i="2"/>
  <c r="H404" i="2"/>
  <c r="F463" i="2"/>
  <c r="F201" i="2"/>
  <c r="H463" i="2"/>
  <c r="E435" i="2"/>
  <c r="G201" i="2"/>
  <c r="F387" i="2"/>
  <c r="F636" i="2"/>
  <c r="F632" i="2"/>
  <c r="F529" i="2"/>
  <c r="G404" i="2"/>
  <c r="H507" i="2"/>
  <c r="F75" i="2"/>
  <c r="E609" i="2"/>
  <c r="F435" i="2"/>
  <c r="H75" i="2"/>
  <c r="E387" i="2"/>
  <c r="H201" i="2"/>
  <c r="E162" i="2"/>
  <c r="G463" i="2"/>
  <c r="G636" i="2"/>
  <c r="G632" i="2"/>
  <c r="G529" i="2"/>
  <c r="F514" i="2"/>
  <c r="G206" i="2"/>
  <c r="G524" i="2"/>
  <c r="F6" i="2"/>
  <c r="E239" i="2"/>
  <c r="E524" i="2"/>
  <c r="H213" i="2"/>
  <c r="E514" i="2"/>
  <c r="G41" i="2"/>
  <c r="H524" i="2"/>
  <c r="G562" i="2"/>
  <c r="F206" i="2"/>
  <c r="F605" i="2"/>
  <c r="F213" i="2"/>
  <c r="H144" i="2"/>
  <c r="E213" i="2"/>
  <c r="H206" i="2"/>
  <c r="F562" i="2"/>
  <c r="G514" i="2"/>
  <c r="F41" i="2"/>
  <c r="G6" i="2"/>
  <c r="E562" i="2"/>
  <c r="E41" i="2"/>
  <c r="G239" i="2"/>
  <c r="E605" i="2"/>
  <c r="H6" i="2"/>
  <c r="H239" i="2"/>
  <c r="G605" i="2"/>
  <c r="E144" i="2"/>
  <c r="G144" i="2"/>
  <c r="E206" i="2"/>
  <c r="H605" i="2"/>
  <c r="G213" i="2"/>
  <c r="F144" i="2"/>
  <c r="H41" i="2"/>
  <c r="H514" i="2"/>
  <c r="F239" i="2"/>
  <c r="E6" i="2"/>
  <c r="F524" i="2"/>
  <c r="H562" i="2"/>
  <c r="G588" i="2"/>
  <c r="F456" i="2"/>
  <c r="E128" i="2"/>
  <c r="F245" i="2"/>
  <c r="E124" i="2"/>
  <c r="G124" i="2"/>
  <c r="F29" i="2"/>
  <c r="G245" i="2"/>
  <c r="G68" i="2"/>
  <c r="F128" i="2"/>
  <c r="H68" i="2"/>
  <c r="H245" i="2"/>
  <c r="G149" i="2"/>
  <c r="F149" i="2"/>
  <c r="G100" i="2"/>
  <c r="G138" i="2"/>
  <c r="H100" i="2"/>
  <c r="G29" i="2"/>
  <c r="F588" i="2"/>
  <c r="F68" i="2"/>
  <c r="F124" i="2"/>
  <c r="E149" i="2"/>
  <c r="E456" i="2"/>
  <c r="H588" i="2"/>
  <c r="E138" i="2"/>
  <c r="G128" i="2"/>
  <c r="F100" i="2"/>
  <c r="H456" i="2"/>
  <c r="H29" i="2"/>
  <c r="E29" i="2"/>
  <c r="H138" i="2"/>
  <c r="E245" i="2"/>
  <c r="E588" i="2"/>
  <c r="E68" i="2"/>
  <c r="E100" i="2"/>
  <c r="H149" i="2"/>
  <c r="H124" i="2"/>
  <c r="H128" i="2"/>
  <c r="G456" i="2"/>
  <c r="F138" i="2"/>
  <c r="H204" i="2"/>
  <c r="F638" i="2"/>
  <c r="F634" i="2"/>
  <c r="F630" i="2"/>
  <c r="F628" i="2"/>
  <c r="F626" i="2"/>
  <c r="F531" i="2"/>
  <c r="H259" i="2"/>
  <c r="F204" i="2"/>
  <c r="G430" i="2"/>
  <c r="F437" i="2"/>
  <c r="H277" i="2"/>
  <c r="G619" i="2"/>
  <c r="H102" i="2"/>
  <c r="G204" i="2"/>
  <c r="F619" i="2"/>
  <c r="H392" i="2"/>
  <c r="E259" i="2"/>
  <c r="H430" i="2"/>
  <c r="E437" i="2"/>
  <c r="F259" i="2"/>
  <c r="G278" i="2"/>
  <c r="F278" i="2"/>
  <c r="F392" i="2"/>
  <c r="E638" i="2"/>
  <c r="E634" i="2"/>
  <c r="E630" i="2"/>
  <c r="E628" i="2"/>
  <c r="E626" i="2"/>
  <c r="E531" i="2"/>
  <c r="G102" i="2"/>
  <c r="E102" i="2"/>
  <c r="G277" i="2"/>
  <c r="H619" i="2"/>
  <c r="E278" i="2"/>
  <c r="G392" i="2"/>
  <c r="E430" i="2"/>
  <c r="H437" i="2"/>
  <c r="G259" i="2"/>
  <c r="E204" i="2"/>
  <c r="E619" i="2"/>
  <c r="E277" i="2"/>
  <c r="E392" i="2"/>
  <c r="F277" i="2"/>
  <c r="G437" i="2"/>
  <c r="H638" i="2"/>
  <c r="H634" i="2"/>
  <c r="H630" i="2"/>
  <c r="H628" i="2"/>
  <c r="H626" i="2"/>
  <c r="H531" i="2"/>
  <c r="F430" i="2"/>
  <c r="H278" i="2"/>
  <c r="F102" i="2"/>
  <c r="G638" i="2"/>
  <c r="G634" i="2"/>
  <c r="G630" i="2"/>
  <c r="G628" i="2"/>
  <c r="G626" i="2"/>
  <c r="G531" i="2"/>
  <c r="E220" i="2"/>
  <c r="G520" i="2"/>
  <c r="H428" i="2"/>
  <c r="E275" i="2"/>
  <c r="E236" i="2"/>
  <c r="G220" i="2"/>
  <c r="E473" i="2"/>
  <c r="F275" i="2"/>
  <c r="G275" i="2"/>
  <c r="E382" i="2"/>
  <c r="E175" i="2"/>
  <c r="E520" i="2"/>
  <c r="H74" i="2"/>
  <c r="H26" i="2"/>
  <c r="F520" i="2"/>
  <c r="G473" i="2"/>
  <c r="F428" i="2"/>
  <c r="F236" i="2"/>
  <c r="F175" i="2"/>
  <c r="H175" i="2"/>
  <c r="F382" i="2"/>
  <c r="H473" i="2"/>
  <c r="G236" i="2"/>
  <c r="H220" i="2"/>
  <c r="G74" i="2"/>
  <c r="E428" i="2"/>
  <c r="G26" i="2"/>
  <c r="E74" i="2"/>
  <c r="F26" i="2"/>
  <c r="G382" i="2"/>
  <c r="F220" i="2"/>
  <c r="H382" i="2"/>
  <c r="F473" i="2"/>
  <c r="G175" i="2"/>
  <c r="H520" i="2"/>
  <c r="G428" i="2"/>
  <c r="F74" i="2"/>
  <c r="H236" i="2"/>
  <c r="E26" i="2"/>
  <c r="H275" i="2"/>
  <c r="G191" i="2"/>
  <c r="E191" i="2"/>
  <c r="G232" i="2"/>
  <c r="E88" i="2"/>
  <c r="G211" i="2"/>
  <c r="F211" i="2"/>
  <c r="E252" i="2"/>
  <c r="E312" i="2"/>
  <c r="H504" i="2"/>
  <c r="F234" i="2"/>
  <c r="G272" i="2"/>
  <c r="H312" i="2"/>
  <c r="E504" i="2"/>
  <c r="G234" i="2"/>
  <c r="F191" i="2"/>
  <c r="H88" i="2"/>
  <c r="F232" i="2"/>
  <c r="E14" i="2"/>
  <c r="H234" i="2"/>
  <c r="H211" i="2"/>
  <c r="G504" i="2"/>
  <c r="H14" i="2"/>
  <c r="G14" i="2"/>
  <c r="G312" i="2"/>
  <c r="G88" i="2"/>
  <c r="H232" i="2"/>
  <c r="F272" i="2"/>
  <c r="F252" i="2"/>
  <c r="G252" i="2"/>
  <c r="H272" i="2"/>
  <c r="H252" i="2"/>
  <c r="F14" i="2"/>
  <c r="H191" i="2"/>
  <c r="E211" i="2"/>
  <c r="F312" i="2"/>
  <c r="F88" i="2"/>
  <c r="F504" i="2"/>
  <c r="E272" i="2"/>
  <c r="E232" i="2"/>
  <c r="E234" i="2"/>
  <c r="E195" i="2"/>
  <c r="E356" i="2"/>
  <c r="H366" i="2"/>
  <c r="H442" i="2"/>
  <c r="F442" i="2"/>
  <c r="G477" i="2"/>
  <c r="F195" i="2"/>
  <c r="H477" i="2"/>
  <c r="F449" i="2"/>
  <c r="F366" i="2"/>
  <c r="H356" i="2"/>
  <c r="G187" i="2"/>
  <c r="G449" i="2"/>
  <c r="H449" i="2"/>
  <c r="G365" i="2"/>
  <c r="G589" i="2"/>
  <c r="E366" i="2"/>
  <c r="F365" i="2"/>
  <c r="H195" i="2"/>
  <c r="G442" i="2"/>
  <c r="E477" i="2"/>
  <c r="H563" i="2"/>
  <c r="F589" i="2"/>
  <c r="F187" i="2"/>
  <c r="H187" i="2"/>
  <c r="H365" i="2"/>
  <c r="G356" i="2"/>
  <c r="G563" i="2"/>
  <c r="E563" i="2"/>
  <c r="H589" i="2"/>
  <c r="F356" i="2"/>
  <c r="E365" i="2"/>
  <c r="F563" i="2"/>
  <c r="E442" i="2"/>
  <c r="G195" i="2"/>
  <c r="E187" i="2"/>
  <c r="E589" i="2"/>
  <c r="G366" i="2"/>
  <c r="F477" i="2"/>
  <c r="E449" i="2"/>
  <c r="Z30" i="1"/>
  <c r="Z44" i="1"/>
  <c r="Z88" i="1"/>
  <c r="Z52" i="1"/>
  <c r="Z34" i="1"/>
  <c r="Z76" i="1"/>
  <c r="Z104" i="1"/>
  <c r="Z4" i="1"/>
  <c r="Z64" i="1"/>
  <c r="Z39" i="1"/>
  <c r="E242" i="2"/>
  <c r="H417" i="2"/>
  <c r="H34" i="2"/>
  <c r="H413" i="2"/>
  <c r="E413" i="2"/>
  <c r="E47" i="2"/>
  <c r="G413" i="2"/>
  <c r="E417" i="2"/>
  <c r="H230" i="2"/>
  <c r="G34" i="2"/>
  <c r="H199" i="2"/>
  <c r="G47" i="2"/>
  <c r="E199" i="2"/>
  <c r="G137" i="2"/>
  <c r="H47" i="2"/>
  <c r="F110" i="2"/>
  <c r="H110" i="2"/>
  <c r="H137" i="2"/>
  <c r="G199" i="2"/>
  <c r="G485" i="2"/>
  <c r="F242" i="2"/>
  <c r="H242" i="2"/>
  <c r="F230" i="2"/>
  <c r="E230" i="2"/>
  <c r="G110" i="2"/>
  <c r="F485" i="2"/>
  <c r="F137" i="2"/>
  <c r="H485" i="2"/>
  <c r="F417" i="2"/>
  <c r="F34" i="2"/>
  <c r="E110" i="2"/>
  <c r="G230" i="2"/>
  <c r="G242" i="2"/>
  <c r="F413" i="2"/>
  <c r="E137" i="2"/>
  <c r="E485" i="2"/>
  <c r="F199" i="2"/>
  <c r="F47" i="2"/>
  <c r="E34" i="2"/>
  <c r="G417" i="2"/>
  <c r="F560" i="2"/>
  <c r="G621" i="2"/>
  <c r="E177" i="2"/>
  <c r="H464" i="2"/>
  <c r="G464" i="2"/>
  <c r="F546" i="2"/>
  <c r="H114" i="2"/>
  <c r="H560" i="2"/>
  <c r="G177" i="2"/>
  <c r="G579" i="2"/>
  <c r="H431" i="2"/>
  <c r="H621" i="2"/>
  <c r="F579" i="2"/>
  <c r="H546" i="2"/>
  <c r="E560" i="2"/>
  <c r="F621" i="2"/>
  <c r="F464" i="2"/>
  <c r="F431" i="2"/>
  <c r="F114" i="2"/>
  <c r="F177" i="2"/>
  <c r="G546" i="2"/>
  <c r="G136" i="2"/>
  <c r="H575" i="2"/>
  <c r="E114" i="2"/>
  <c r="E136" i="2"/>
  <c r="H579" i="2"/>
  <c r="H136" i="2"/>
  <c r="E431" i="2"/>
  <c r="E575" i="2"/>
  <c r="F575" i="2"/>
  <c r="G560" i="2"/>
  <c r="H177" i="2"/>
  <c r="G114" i="2"/>
  <c r="E579" i="2"/>
  <c r="F136" i="2"/>
  <c r="E546" i="2"/>
  <c r="E464" i="2"/>
  <c r="G575" i="2"/>
  <c r="E621" i="2"/>
  <c r="G431" i="2"/>
  <c r="G557" i="2"/>
  <c r="F337" i="2"/>
  <c r="G256" i="2"/>
  <c r="H572" i="2"/>
  <c r="E283" i="2"/>
  <c r="G572" i="2"/>
  <c r="G337" i="2"/>
  <c r="G283" i="2"/>
  <c r="H602" i="2"/>
  <c r="G535" i="2"/>
  <c r="F283" i="2"/>
  <c r="E602" i="2"/>
  <c r="F572" i="2"/>
  <c r="E285" i="2"/>
  <c r="H256" i="2"/>
  <c r="H503" i="2"/>
  <c r="F503" i="2"/>
  <c r="E176" i="2"/>
  <c r="F557" i="2"/>
  <c r="G285" i="2"/>
  <c r="G602" i="2"/>
  <c r="E337" i="2"/>
  <c r="F256" i="2"/>
  <c r="F176" i="2"/>
  <c r="H285" i="2"/>
  <c r="H176" i="2"/>
  <c r="G503" i="2"/>
  <c r="E535" i="2"/>
  <c r="F535" i="2"/>
  <c r="E557" i="2"/>
  <c r="H557" i="2"/>
  <c r="E572" i="2"/>
  <c r="F602" i="2"/>
  <c r="F285" i="2"/>
  <c r="H283" i="2"/>
  <c r="H337" i="2"/>
  <c r="G176" i="2"/>
  <c r="E503" i="2"/>
  <c r="H535" i="2"/>
  <c r="E256" i="2"/>
  <c r="F497" i="2"/>
  <c r="E470" i="2"/>
  <c r="H556" i="2"/>
  <c r="H182" i="2"/>
  <c r="H364" i="2"/>
  <c r="F182" i="2"/>
  <c r="H389" i="2"/>
  <c r="F556" i="2"/>
  <c r="G510" i="2"/>
  <c r="E497" i="2"/>
  <c r="G576" i="2"/>
  <c r="G556" i="2"/>
  <c r="F416" i="2"/>
  <c r="H497" i="2"/>
  <c r="G364" i="2"/>
  <c r="F470" i="2"/>
  <c r="F364" i="2"/>
  <c r="H416" i="2"/>
  <c r="E182" i="2"/>
  <c r="E416" i="2"/>
  <c r="E576" i="2"/>
  <c r="H510" i="2"/>
  <c r="E389" i="2"/>
  <c r="F389" i="2"/>
  <c r="E238" i="2"/>
  <c r="G238" i="2"/>
  <c r="F576" i="2"/>
  <c r="F238" i="2"/>
  <c r="F510" i="2"/>
  <c r="G470" i="2"/>
  <c r="H238" i="2"/>
  <c r="E364" i="2"/>
  <c r="E510" i="2"/>
  <c r="E556" i="2"/>
  <c r="H576" i="2"/>
  <c r="G182" i="2"/>
  <c r="G416" i="2"/>
  <c r="G497" i="2"/>
  <c r="H470" i="2"/>
  <c r="G389" i="2"/>
  <c r="Z6" i="1"/>
  <c r="Z27" i="1"/>
  <c r="Z65" i="1"/>
  <c r="Z80" i="1"/>
  <c r="Z78" i="1"/>
  <c r="Z20" i="1"/>
  <c r="Z71" i="1"/>
  <c r="Z53" i="1"/>
  <c r="Z48" i="1"/>
  <c r="Z85" i="1"/>
  <c r="G462" i="2"/>
  <c r="H373" i="2"/>
  <c r="F462" i="2"/>
  <c r="E462" i="2"/>
  <c r="E310" i="2"/>
  <c r="E592" i="2"/>
  <c r="F373" i="2"/>
  <c r="G148" i="2"/>
  <c r="F500" i="2"/>
  <c r="G475" i="2"/>
  <c r="E475" i="2"/>
  <c r="F475" i="2"/>
  <c r="E500" i="2"/>
  <c r="G373" i="2"/>
  <c r="H558" i="2"/>
  <c r="H148" i="2"/>
  <c r="E558" i="2"/>
  <c r="F466" i="2"/>
  <c r="E466" i="2"/>
  <c r="F310" i="2"/>
  <c r="H592" i="2"/>
  <c r="G622" i="2"/>
  <c r="G466" i="2"/>
  <c r="F622" i="2"/>
  <c r="F148" i="2"/>
  <c r="E622" i="2"/>
  <c r="G310" i="2"/>
  <c r="H500" i="2"/>
  <c r="F558" i="2"/>
  <c r="F592" i="2"/>
  <c r="H622" i="2"/>
  <c r="H310" i="2"/>
  <c r="H462" i="2"/>
  <c r="E148" i="2"/>
  <c r="H475" i="2"/>
  <c r="E373" i="2"/>
  <c r="H466" i="2"/>
  <c r="G592" i="2"/>
  <c r="G500" i="2"/>
  <c r="G558" i="2"/>
  <c r="E8" i="2"/>
  <c r="E309" i="2"/>
  <c r="G8" i="2"/>
  <c r="E240" i="2"/>
  <c r="H184" i="2"/>
  <c r="G73" i="2"/>
  <c r="F441" i="2"/>
  <c r="F527" i="2"/>
  <c r="G309" i="2"/>
  <c r="H266" i="2"/>
  <c r="G266" i="2"/>
  <c r="G240" i="2"/>
  <c r="E305" i="2"/>
  <c r="E399" i="2"/>
  <c r="H309" i="2"/>
  <c r="F399" i="2"/>
  <c r="F73" i="2"/>
  <c r="H441" i="2"/>
  <c r="H527" i="2"/>
  <c r="E266" i="2"/>
  <c r="H399" i="2"/>
  <c r="F305" i="2"/>
  <c r="F8" i="2"/>
  <c r="E73" i="2"/>
  <c r="F240" i="2"/>
  <c r="G441" i="2"/>
  <c r="G527" i="2"/>
  <c r="F184" i="2"/>
  <c r="H305" i="2"/>
  <c r="G184" i="2"/>
  <c r="F309" i="2"/>
  <c r="H240" i="2"/>
  <c r="H73" i="2"/>
  <c r="G305" i="2"/>
  <c r="E527" i="2"/>
  <c r="E184" i="2"/>
  <c r="H8" i="2"/>
  <c r="G399" i="2"/>
  <c r="F266" i="2"/>
  <c r="E441" i="2"/>
  <c r="H331" i="2"/>
  <c r="G237" i="2"/>
  <c r="F450" i="2"/>
  <c r="F331" i="2"/>
  <c r="E226" i="2"/>
  <c r="G20" i="2"/>
  <c r="H474" i="2"/>
  <c r="F196" i="2"/>
  <c r="H555" i="2"/>
  <c r="H351" i="2"/>
  <c r="H20" i="2"/>
  <c r="E440" i="2"/>
  <c r="G555" i="2"/>
  <c r="F237" i="2"/>
  <c r="F226" i="2"/>
  <c r="G440" i="2"/>
  <c r="F555" i="2"/>
  <c r="F20" i="2"/>
  <c r="E331" i="2"/>
  <c r="H237" i="2"/>
  <c r="E450" i="2"/>
  <c r="H440" i="2"/>
  <c r="H196" i="2"/>
  <c r="G474" i="2"/>
  <c r="E474" i="2"/>
  <c r="F351" i="2"/>
  <c r="E196" i="2"/>
  <c r="G351" i="2"/>
  <c r="H226" i="2"/>
  <c r="H450" i="2"/>
  <c r="F474" i="2"/>
  <c r="E555" i="2"/>
  <c r="G450" i="2"/>
  <c r="E237" i="2"/>
  <c r="G196" i="2"/>
  <c r="E20" i="2"/>
  <c r="G331" i="2"/>
  <c r="F440" i="2"/>
  <c r="G226" i="2"/>
  <c r="E351" i="2"/>
  <c r="F251" i="2"/>
  <c r="E267" i="2"/>
  <c r="G578" i="2"/>
  <c r="E355" i="2"/>
  <c r="H25" i="2"/>
  <c r="E81" i="2"/>
  <c r="G155" i="2"/>
  <c r="E155" i="2"/>
  <c r="F81" i="2"/>
  <c r="F25" i="2"/>
  <c r="H363" i="2"/>
  <c r="E223" i="2"/>
  <c r="H267" i="2"/>
  <c r="H578" i="2"/>
  <c r="G223" i="2"/>
  <c r="G267" i="2"/>
  <c r="F578" i="2"/>
  <c r="F257" i="2"/>
  <c r="G251" i="2"/>
  <c r="F223" i="2"/>
  <c r="G25" i="2"/>
  <c r="H355" i="2"/>
  <c r="G81" i="2"/>
  <c r="H257" i="2"/>
  <c r="H251" i="2"/>
  <c r="E363" i="2"/>
  <c r="F155" i="2"/>
  <c r="G257" i="2"/>
  <c r="G355" i="2"/>
  <c r="F363" i="2"/>
  <c r="E251" i="2"/>
  <c r="H81" i="2"/>
  <c r="E257" i="2"/>
  <c r="H155" i="2"/>
  <c r="E25" i="2"/>
  <c r="F355" i="2"/>
  <c r="F267" i="2"/>
  <c r="H223" i="2"/>
  <c r="G363" i="2"/>
  <c r="E578" i="2"/>
  <c r="H513" i="2"/>
  <c r="H99" i="2"/>
  <c r="F338" i="2"/>
  <c r="H367" i="2"/>
  <c r="H37" i="2"/>
  <c r="G172" i="2"/>
  <c r="E172" i="2"/>
  <c r="E298" i="2"/>
  <c r="H269" i="2"/>
  <c r="H298" i="2"/>
  <c r="G269" i="2"/>
  <c r="H358" i="2"/>
  <c r="G513" i="2"/>
  <c r="F513" i="2"/>
  <c r="F358" i="2"/>
  <c r="G358" i="2"/>
  <c r="F99" i="2"/>
  <c r="G99" i="2"/>
  <c r="H338" i="2"/>
  <c r="F172" i="2"/>
  <c r="G298" i="2"/>
  <c r="F269" i="2"/>
  <c r="E37" i="2"/>
  <c r="G367" i="2"/>
  <c r="G323" i="2"/>
  <c r="E367" i="2"/>
  <c r="E338" i="2"/>
  <c r="E323" i="2"/>
  <c r="G37" i="2"/>
  <c r="H323" i="2"/>
  <c r="G338" i="2"/>
  <c r="E358" i="2"/>
  <c r="E269" i="2"/>
  <c r="E99" i="2"/>
  <c r="F323" i="2"/>
  <c r="F298" i="2"/>
  <c r="F37" i="2"/>
  <c r="F367" i="2"/>
  <c r="E513" i="2"/>
  <c r="H172" i="2"/>
  <c r="G157" i="2"/>
  <c r="H120" i="2"/>
  <c r="E467" i="2"/>
  <c r="G536" i="2"/>
  <c r="F467" i="2"/>
  <c r="G255" i="2"/>
  <c r="G341" i="2"/>
  <c r="F461" i="2"/>
  <c r="F536" i="2"/>
  <c r="H536" i="2"/>
  <c r="G498" i="2"/>
  <c r="G467" i="2"/>
  <c r="E461" i="2"/>
  <c r="H157" i="2"/>
  <c r="E120" i="2"/>
  <c r="E498" i="2"/>
  <c r="H282" i="2"/>
  <c r="G282" i="2"/>
  <c r="H341" i="2"/>
  <c r="F120" i="2"/>
  <c r="E341" i="2"/>
  <c r="H379" i="2"/>
  <c r="F498" i="2"/>
  <c r="G461" i="2"/>
  <c r="G379" i="2"/>
  <c r="E157" i="2"/>
  <c r="E255" i="2"/>
  <c r="F282" i="2"/>
  <c r="H255" i="2"/>
  <c r="E379" i="2"/>
  <c r="E282" i="2"/>
  <c r="H467" i="2"/>
  <c r="F379" i="2"/>
  <c r="F341" i="2"/>
  <c r="F157" i="2"/>
  <c r="H461" i="2"/>
  <c r="F255" i="2"/>
  <c r="E536" i="2"/>
  <c r="G120" i="2"/>
  <c r="H498" i="2"/>
  <c r="G214" i="2"/>
  <c r="F620" i="2"/>
  <c r="G559" i="2"/>
  <c r="E173" i="2"/>
  <c r="F359" i="2"/>
  <c r="F173" i="2"/>
  <c r="E214" i="2"/>
  <c r="E359" i="2"/>
  <c r="E395" i="2"/>
  <c r="F573" i="2"/>
  <c r="H271" i="2"/>
  <c r="H611" i="2"/>
  <c r="H359" i="2"/>
  <c r="H573" i="2"/>
  <c r="E559" i="2"/>
  <c r="H214" i="2"/>
  <c r="F559" i="2"/>
  <c r="F125" i="2"/>
  <c r="G125" i="2"/>
  <c r="H620" i="2"/>
  <c r="H395" i="2"/>
  <c r="F611" i="2"/>
  <c r="G271" i="2"/>
  <c r="F395" i="2"/>
  <c r="H173" i="2"/>
  <c r="H125" i="2"/>
  <c r="G573" i="2"/>
  <c r="E611" i="2"/>
  <c r="E271" i="2"/>
  <c r="E620" i="2"/>
  <c r="F271" i="2"/>
  <c r="G395" i="2"/>
  <c r="G359" i="2"/>
  <c r="E573" i="2"/>
  <c r="G173" i="2"/>
  <c r="E125" i="2"/>
  <c r="G620" i="2"/>
  <c r="F214" i="2"/>
  <c r="H559" i="2"/>
  <c r="G611" i="2"/>
  <c r="E89" i="2"/>
  <c r="G291" i="2"/>
  <c r="H19" i="2"/>
  <c r="E291" i="2"/>
  <c r="E101" i="2"/>
  <c r="F101" i="2"/>
  <c r="F16" i="2"/>
  <c r="H291" i="2"/>
  <c r="G101" i="2"/>
  <c r="H538" i="2"/>
  <c r="F607" i="2"/>
  <c r="F328" i="2"/>
  <c r="E607" i="2"/>
  <c r="H377" i="2"/>
  <c r="H95" i="2"/>
  <c r="G16" i="2"/>
  <c r="F538" i="2"/>
  <c r="G607" i="2"/>
  <c r="G95" i="2"/>
  <c r="E95" i="2"/>
  <c r="H328" i="2"/>
  <c r="F89" i="2"/>
  <c r="E328" i="2"/>
  <c r="G377" i="2"/>
  <c r="E538" i="2"/>
  <c r="G89" i="2"/>
  <c r="G19" i="2"/>
  <c r="E377" i="2"/>
  <c r="F19" i="2"/>
  <c r="E16" i="2"/>
  <c r="F291" i="2"/>
  <c r="H89" i="2"/>
  <c r="G538" i="2"/>
  <c r="F377" i="2"/>
  <c r="H607" i="2"/>
  <c r="H101" i="2"/>
  <c r="F95" i="2"/>
  <c r="E19" i="2"/>
  <c r="G328" i="2"/>
  <c r="H16" i="2"/>
  <c r="F208" i="2"/>
  <c r="G567" i="2"/>
  <c r="E118" i="2"/>
  <c r="E307" i="2"/>
  <c r="G103" i="2"/>
  <c r="E208" i="2"/>
  <c r="E103" i="2"/>
  <c r="G171" i="2"/>
  <c r="F228" i="2"/>
  <c r="H307" i="2"/>
  <c r="F118" i="2"/>
  <c r="E388" i="2"/>
  <c r="F426" i="2"/>
  <c r="F307" i="2"/>
  <c r="H567" i="2"/>
  <c r="H388" i="2"/>
  <c r="E426" i="2"/>
  <c r="H426" i="2"/>
  <c r="E183" i="2"/>
  <c r="F567" i="2"/>
  <c r="E228" i="2"/>
  <c r="H183" i="2"/>
  <c r="G208" i="2"/>
  <c r="H118" i="2"/>
  <c r="G228" i="2"/>
  <c r="H171" i="2"/>
  <c r="F388" i="2"/>
  <c r="F171" i="2"/>
  <c r="H103" i="2"/>
  <c r="F183" i="2"/>
  <c r="G118" i="2"/>
  <c r="G426" i="2"/>
  <c r="H208" i="2"/>
  <c r="H228" i="2"/>
  <c r="G307" i="2"/>
  <c r="E567" i="2"/>
  <c r="G388" i="2"/>
  <c r="F103" i="2"/>
  <c r="G183" i="2"/>
  <c r="E171" i="2"/>
  <c r="F115" i="2"/>
  <c r="F532" i="2"/>
  <c r="H31" i="2"/>
  <c r="H445" i="2"/>
  <c r="G469" i="2"/>
  <c r="H489" i="2"/>
  <c r="G262" i="2"/>
  <c r="E92" i="2"/>
  <c r="G586" i="2"/>
  <c r="F31" i="2"/>
  <c r="F489" i="2"/>
  <c r="G40" i="2"/>
  <c r="E48" i="2"/>
  <c r="F24" i="2"/>
  <c r="E445" i="2"/>
  <c r="H24" i="2"/>
  <c r="E40" i="2"/>
  <c r="H325" i="2"/>
  <c r="F357" i="2"/>
  <c r="F509" i="2"/>
  <c r="H348" i="2"/>
  <c r="H439" i="2"/>
  <c r="G489" i="2"/>
  <c r="F348" i="2"/>
  <c r="E262" i="2"/>
  <c r="H586" i="2"/>
  <c r="F262" i="2"/>
  <c r="H92" i="2"/>
  <c r="F92" i="2"/>
  <c r="F87" i="2"/>
  <c r="E509" i="2"/>
  <c r="H577" i="2"/>
  <c r="F294" i="2"/>
  <c r="E115" i="2"/>
  <c r="H357" i="2"/>
  <c r="H509" i="2"/>
  <c r="H294" i="2"/>
  <c r="H254" i="2"/>
  <c r="E254" i="2"/>
  <c r="H612" i="2"/>
  <c r="E469" i="2"/>
  <c r="H23" i="2"/>
  <c r="H532" i="2"/>
  <c r="F221" i="2"/>
  <c r="F325" i="2"/>
  <c r="F469" i="2"/>
  <c r="E383" i="2"/>
  <c r="G48" i="2"/>
  <c r="G577" i="2"/>
  <c r="G439" i="2"/>
  <c r="G87" i="2"/>
  <c r="E612" i="2"/>
  <c r="H87" i="2"/>
  <c r="F383" i="2"/>
  <c r="E24" i="2"/>
  <c r="F23" i="2"/>
  <c r="H490" i="2"/>
  <c r="E23" i="2"/>
  <c r="E294" i="2"/>
  <c r="H40" i="2"/>
  <c r="F48" i="2"/>
  <c r="G221" i="2"/>
  <c r="G254" i="2"/>
  <c r="F445" i="2"/>
  <c r="F586" i="2"/>
  <c r="F396" i="2"/>
  <c r="F152" i="2"/>
  <c r="F612" i="2"/>
  <c r="E490" i="2"/>
  <c r="G121" i="2"/>
  <c r="E325" i="2"/>
  <c r="H115" i="2"/>
  <c r="E121" i="2"/>
  <c r="E494" i="2"/>
  <c r="H494" i="2"/>
  <c r="H396" i="2"/>
  <c r="H152" i="2"/>
  <c r="G494" i="2"/>
  <c r="E152" i="2"/>
  <c r="E348" i="2"/>
  <c r="G396" i="2"/>
  <c r="G357" i="2"/>
  <c r="G532" i="2"/>
  <c r="F490" i="2"/>
  <c r="E31" i="2"/>
  <c r="H383" i="2"/>
  <c r="F439" i="2"/>
  <c r="G383" i="2"/>
  <c r="G294" i="2"/>
  <c r="E439" i="2"/>
  <c r="E532" i="2"/>
  <c r="H262" i="2"/>
  <c r="G23" i="2"/>
  <c r="H48" i="2"/>
  <c r="E396" i="2"/>
  <c r="G31" i="2"/>
  <c r="F577" i="2"/>
  <c r="G509" i="2"/>
  <c r="H121" i="2"/>
  <c r="G445" i="2"/>
  <c r="H469" i="2"/>
  <c r="G612" i="2"/>
  <c r="G152" i="2"/>
  <c r="G490" i="2"/>
  <c r="E489" i="2"/>
  <c r="E577" i="2"/>
  <c r="F121" i="2"/>
  <c r="E586" i="2"/>
  <c r="G115" i="2"/>
  <c r="H221" i="2"/>
  <c r="F254" i="2"/>
  <c r="E357" i="2"/>
  <c r="E221" i="2"/>
  <c r="G92" i="2"/>
  <c r="G325" i="2"/>
  <c r="G348" i="2"/>
  <c r="G24" i="2"/>
  <c r="F494" i="2"/>
  <c r="E87" i="2"/>
  <c r="F40" i="2"/>
  <c r="H80" i="2"/>
  <c r="G343" i="2"/>
  <c r="G344" i="2"/>
  <c r="H84" i="2"/>
  <c r="H571" i="2"/>
  <c r="E151" i="2"/>
  <c r="F246" i="2"/>
  <c r="E38" i="2"/>
  <c r="F343" i="2"/>
  <c r="F80" i="2"/>
  <c r="E571" i="2"/>
  <c r="F151" i="2"/>
  <c r="F344" i="2"/>
  <c r="E344" i="2"/>
  <c r="G246" i="2"/>
  <c r="F84" i="2"/>
  <c r="F571" i="2"/>
  <c r="E511" i="2"/>
  <c r="H151" i="2"/>
  <c r="H511" i="2"/>
  <c r="G511" i="2"/>
  <c r="F353" i="2"/>
  <c r="G38" i="2"/>
  <c r="G353" i="2"/>
  <c r="H38" i="2"/>
  <c r="E84" i="2"/>
  <c r="E80" i="2"/>
  <c r="E343" i="2"/>
  <c r="H246" i="2"/>
  <c r="H353" i="2"/>
  <c r="G80" i="2"/>
  <c r="G151" i="2"/>
  <c r="E353" i="2"/>
  <c r="H343" i="2"/>
  <c r="G571" i="2"/>
  <c r="H344" i="2"/>
  <c r="E246" i="2"/>
  <c r="F511" i="2"/>
  <c r="G84" i="2"/>
  <c r="F38" i="2"/>
  <c r="H397" i="2"/>
  <c r="G243" i="2"/>
  <c r="G506" i="2"/>
  <c r="E189" i="2"/>
  <c r="H506" i="2"/>
  <c r="F397" i="2"/>
  <c r="G197" i="2"/>
  <c r="G372" i="2"/>
  <c r="H372" i="2"/>
  <c r="G55" i="2"/>
  <c r="F55" i="2"/>
  <c r="H243" i="2"/>
  <c r="H197" i="2"/>
  <c r="F506" i="2"/>
  <c r="H452" i="2"/>
  <c r="G452" i="2"/>
  <c r="E46" i="2"/>
  <c r="E22" i="2"/>
  <c r="G46" i="2"/>
  <c r="G22" i="2"/>
  <c r="G79" i="2"/>
  <c r="F46" i="2"/>
  <c r="F22" i="2"/>
  <c r="H189" i="2"/>
  <c r="F79" i="2"/>
  <c r="E79" i="2"/>
  <c r="F452" i="2"/>
  <c r="F243" i="2"/>
  <c r="H55" i="2"/>
  <c r="E372" i="2"/>
  <c r="F197" i="2"/>
  <c r="G189" i="2"/>
  <c r="G397" i="2"/>
  <c r="E506" i="2"/>
  <c r="E397" i="2"/>
  <c r="E243" i="2"/>
  <c r="H79" i="2"/>
  <c r="E197" i="2"/>
  <c r="F372" i="2"/>
  <c r="E452" i="2"/>
  <c r="H46" i="2"/>
  <c r="H22" i="2"/>
  <c r="E55" i="2"/>
  <c r="F189" i="2"/>
  <c r="H580" i="2"/>
  <c r="G104" i="2"/>
  <c r="F580" i="2"/>
  <c r="H347" i="2"/>
  <c r="E618" i="2"/>
  <c r="F384" i="2"/>
  <c r="G65" i="2"/>
  <c r="G76" i="2"/>
  <c r="H65" i="2"/>
  <c r="H618" i="2"/>
  <c r="E104" i="2"/>
  <c r="H76" i="2"/>
  <c r="E517" i="2"/>
  <c r="E347" i="2"/>
  <c r="G378" i="2"/>
  <c r="G384" i="2"/>
  <c r="H378" i="2"/>
  <c r="E384" i="2"/>
  <c r="H104" i="2"/>
  <c r="G568" i="2"/>
  <c r="G347" i="2"/>
  <c r="F568" i="2"/>
  <c r="G618" i="2"/>
  <c r="F517" i="2"/>
  <c r="F65" i="2"/>
  <c r="E580" i="2"/>
  <c r="E76" i="2"/>
  <c r="F378" i="2"/>
  <c r="H517" i="2"/>
  <c r="E568" i="2"/>
  <c r="H568" i="2"/>
  <c r="F347" i="2"/>
  <c r="F618" i="2"/>
  <c r="E65" i="2"/>
  <c r="G580" i="2"/>
  <c r="F104" i="2"/>
  <c r="F76" i="2"/>
  <c r="G517" i="2"/>
  <c r="E378" i="2"/>
  <c r="H384" i="2"/>
  <c r="F584" i="2"/>
  <c r="E614" i="2"/>
  <c r="F534" i="2"/>
  <c r="H534" i="2"/>
  <c r="G614" i="2"/>
  <c r="E434" i="2"/>
  <c r="F32" i="2"/>
  <c r="G582" i="2"/>
  <c r="E224" i="2"/>
  <c r="E584" i="2"/>
  <c r="F314" i="2"/>
  <c r="H582" i="2"/>
  <c r="H614" i="2"/>
  <c r="E582" i="2"/>
  <c r="G224" i="2"/>
  <c r="H32" i="2"/>
  <c r="E32" i="2"/>
  <c r="H192" i="2"/>
  <c r="F434" i="2"/>
  <c r="F438" i="2"/>
  <c r="G534" i="2"/>
  <c r="E192" i="2"/>
  <c r="E438" i="2"/>
  <c r="F192" i="2"/>
  <c r="F224" i="2"/>
  <c r="G314" i="2"/>
  <c r="H438" i="2"/>
  <c r="H434" i="2"/>
  <c r="G584" i="2"/>
  <c r="H314" i="2"/>
  <c r="H584" i="2"/>
  <c r="G434" i="2"/>
  <c r="H224" i="2"/>
  <c r="G438" i="2"/>
  <c r="E314" i="2"/>
  <c r="F582" i="2"/>
  <c r="E534" i="2"/>
  <c r="F614" i="2"/>
  <c r="G192" i="2"/>
  <c r="G32" i="2"/>
  <c r="F178" i="2"/>
  <c r="H495" i="2"/>
  <c r="H581" i="2"/>
  <c r="H565" i="2"/>
  <c r="G482" i="2"/>
  <c r="H279" i="2"/>
  <c r="F454" i="2"/>
  <c r="E581" i="2"/>
  <c r="G178" i="2"/>
  <c r="G134" i="2"/>
  <c r="G581" i="2"/>
  <c r="E147" i="2"/>
  <c r="E482" i="2"/>
  <c r="G495" i="2"/>
  <c r="H188" i="2"/>
  <c r="F188" i="2"/>
  <c r="H147" i="2"/>
  <c r="H482" i="2"/>
  <c r="E279" i="2"/>
  <c r="H454" i="2"/>
  <c r="E178" i="2"/>
  <c r="E188" i="2"/>
  <c r="E565" i="2"/>
  <c r="G279" i="2"/>
  <c r="E454" i="2"/>
  <c r="G565" i="2"/>
  <c r="F134" i="2"/>
  <c r="E495" i="2"/>
  <c r="G147" i="2"/>
  <c r="E134" i="2"/>
  <c r="F147" i="2"/>
  <c r="F581" i="2"/>
  <c r="H178" i="2"/>
  <c r="H134" i="2"/>
  <c r="F279" i="2"/>
  <c r="F565" i="2"/>
  <c r="G454" i="2"/>
  <c r="F482" i="2"/>
  <c r="F495" i="2"/>
  <c r="G188" i="2"/>
  <c r="E139" i="2"/>
  <c r="H301" i="2"/>
  <c r="E130" i="2"/>
  <c r="E550" i="2"/>
  <c r="F94" i="2"/>
  <c r="E370" i="2"/>
  <c r="H370" i="2"/>
  <c r="H130" i="2"/>
  <c r="H94" i="2"/>
  <c r="F478" i="2"/>
  <c r="G190" i="2"/>
  <c r="E301" i="2"/>
  <c r="H190" i="2"/>
  <c r="G301" i="2"/>
  <c r="H550" i="2"/>
  <c r="H222" i="2"/>
  <c r="E244" i="2"/>
  <c r="G139" i="2"/>
  <c r="F130" i="2"/>
  <c r="F550" i="2"/>
  <c r="G94" i="2"/>
  <c r="G370" i="2"/>
  <c r="F139" i="2"/>
  <c r="F190" i="2"/>
  <c r="G222" i="2"/>
  <c r="G244" i="2"/>
  <c r="F244" i="2"/>
  <c r="F222" i="2"/>
  <c r="H478" i="2"/>
  <c r="E478" i="2"/>
  <c r="E190" i="2"/>
  <c r="F370" i="2"/>
  <c r="E94" i="2"/>
  <c r="F301" i="2"/>
  <c r="H139" i="2"/>
  <c r="G550" i="2"/>
  <c r="G478" i="2"/>
  <c r="H244" i="2"/>
  <c r="G130" i="2"/>
  <c r="E222" i="2"/>
  <c r="F109" i="2"/>
  <c r="H109" i="2"/>
  <c r="G540" i="2"/>
  <c r="E540" i="2"/>
  <c r="G63" i="2"/>
  <c r="E598" i="2"/>
  <c r="F508" i="2"/>
  <c r="G339" i="2"/>
  <c r="F598" i="2"/>
  <c r="E109" i="2"/>
  <c r="G544" i="2"/>
  <c r="F63" i="2"/>
  <c r="E339" i="2"/>
  <c r="E185" i="2"/>
  <c r="E63" i="2"/>
  <c r="H427" i="2"/>
  <c r="E427" i="2"/>
  <c r="G185" i="2"/>
  <c r="F544" i="2"/>
  <c r="H69" i="2"/>
  <c r="F427" i="2"/>
  <c r="E508" i="2"/>
  <c r="G508" i="2"/>
  <c r="H544" i="2"/>
  <c r="H185" i="2"/>
  <c r="F69" i="2"/>
  <c r="F540" i="2"/>
  <c r="H598" i="2"/>
  <c r="E69" i="2"/>
  <c r="H339" i="2"/>
  <c r="G427" i="2"/>
  <c r="G109" i="2"/>
  <c r="G598" i="2"/>
  <c r="H508" i="2"/>
  <c r="G69" i="2"/>
  <c r="F185" i="2"/>
  <c r="E544" i="2"/>
  <c r="F339" i="2"/>
  <c r="H540" i="2"/>
  <c r="H63" i="2"/>
  <c r="H67" i="2"/>
  <c r="G67" i="2"/>
  <c r="F123" i="2"/>
  <c r="F133" i="2"/>
  <c r="F321" i="2"/>
  <c r="H321" i="2"/>
  <c r="H480" i="2"/>
  <c r="E133" i="2"/>
  <c r="F308" i="2"/>
  <c r="F49" i="2"/>
  <c r="F317" i="2"/>
  <c r="E123" i="2"/>
  <c r="E317" i="2"/>
  <c r="G49" i="2"/>
  <c r="H140" i="2"/>
  <c r="E67" i="2"/>
  <c r="E308" i="2"/>
  <c r="H317" i="2"/>
  <c r="E480" i="2"/>
  <c r="G480" i="2"/>
  <c r="G308" i="2"/>
  <c r="H49" i="2"/>
  <c r="H123" i="2"/>
  <c r="G140" i="2"/>
  <c r="F132" i="2"/>
  <c r="E321" i="2"/>
  <c r="E140" i="2"/>
  <c r="G132" i="2"/>
  <c r="E132" i="2"/>
  <c r="G133" i="2"/>
  <c r="F480" i="2"/>
  <c r="H132" i="2"/>
  <c r="F140" i="2"/>
  <c r="F67" i="2"/>
  <c r="G317" i="2"/>
  <c r="E49" i="2"/>
  <c r="H308" i="2"/>
  <c r="G321" i="2"/>
  <c r="G123" i="2"/>
  <c r="H133" i="2"/>
  <c r="H419" i="2"/>
  <c r="E306" i="2"/>
  <c r="E303" i="2"/>
  <c r="H570" i="2"/>
  <c r="H193" i="2"/>
  <c r="F156" i="2"/>
  <c r="H306" i="2"/>
  <c r="G336" i="2"/>
  <c r="F193" i="2"/>
  <c r="G35" i="2"/>
  <c r="H566" i="2"/>
  <c r="E336" i="2"/>
  <c r="F349" i="2"/>
  <c r="H44" i="2"/>
  <c r="G111" i="2"/>
  <c r="E419" i="2"/>
  <c r="E127" i="2"/>
  <c r="F111" i="2"/>
  <c r="F306" i="2"/>
  <c r="H533" i="2"/>
  <c r="F360" i="2"/>
  <c r="F303" i="2"/>
  <c r="H617" i="2"/>
  <c r="H349" i="2"/>
  <c r="E35" i="2"/>
  <c r="G273" i="2"/>
  <c r="H360" i="2"/>
  <c r="E570" i="2"/>
  <c r="F518" i="2"/>
  <c r="E349" i="2"/>
  <c r="G570" i="2"/>
  <c r="G518" i="2"/>
  <c r="G303" i="2"/>
  <c r="F566" i="2"/>
  <c r="H127" i="2"/>
  <c r="G419" i="2"/>
  <c r="H111" i="2"/>
  <c r="G533" i="2"/>
  <c r="G193" i="2"/>
  <c r="F127" i="2"/>
  <c r="H273" i="2"/>
  <c r="H526" i="2"/>
  <c r="F533" i="2"/>
  <c r="H156" i="2"/>
  <c r="F150" i="2"/>
  <c r="G156" i="2"/>
  <c r="G526" i="2"/>
  <c r="E150" i="2"/>
  <c r="E526" i="2"/>
  <c r="E566" i="2"/>
  <c r="H518" i="2"/>
  <c r="E360" i="2"/>
  <c r="G44" i="2"/>
  <c r="F617" i="2"/>
  <c r="E44" i="2"/>
  <c r="H35" i="2"/>
  <c r="E273" i="2"/>
  <c r="G617" i="2"/>
  <c r="H150" i="2"/>
  <c r="F336" i="2"/>
  <c r="E156" i="2"/>
  <c r="H303" i="2"/>
  <c r="F273" i="2"/>
  <c r="E617" i="2"/>
  <c r="F526" i="2"/>
  <c r="G566" i="2"/>
  <c r="E111" i="2"/>
  <c r="G360" i="2"/>
  <c r="F419" i="2"/>
  <c r="G306" i="2"/>
  <c r="F35" i="2"/>
  <c r="E533" i="2"/>
  <c r="G150" i="2"/>
  <c r="G127" i="2"/>
  <c r="G349" i="2"/>
  <c r="F570" i="2"/>
  <c r="E193" i="2"/>
  <c r="F44" i="2"/>
  <c r="H336" i="2"/>
  <c r="E518" i="2"/>
  <c r="H253" i="2"/>
  <c r="G368" i="2"/>
  <c r="F253" i="2"/>
  <c r="H624" i="2"/>
  <c r="G154" i="2"/>
  <c r="E61" i="2"/>
  <c r="F169" i="2"/>
  <c r="E154" i="2"/>
  <c r="H354" i="2"/>
  <c r="E292" i="2"/>
  <c r="H169" i="2"/>
  <c r="F61" i="2"/>
  <c r="E253" i="2"/>
  <c r="E200" i="2"/>
  <c r="F624" i="2"/>
  <c r="G169" i="2"/>
  <c r="G624" i="2"/>
  <c r="H368" i="2"/>
  <c r="F292" i="2"/>
  <c r="F354" i="2"/>
  <c r="H292" i="2"/>
  <c r="F200" i="2"/>
  <c r="G200" i="2"/>
  <c r="F154" i="2"/>
  <c r="E368" i="2"/>
  <c r="G472" i="2"/>
  <c r="G61" i="2"/>
  <c r="F472" i="2"/>
  <c r="E354" i="2"/>
  <c r="H472" i="2"/>
  <c r="H154" i="2"/>
  <c r="E624" i="2"/>
  <c r="E169" i="2"/>
  <c r="H61" i="2"/>
  <c r="G253" i="2"/>
  <c r="G354" i="2"/>
  <c r="H200" i="2"/>
  <c r="F368" i="2"/>
  <c r="E472" i="2"/>
  <c r="G292" i="2"/>
  <c r="F458" i="2"/>
  <c r="E284" i="2"/>
  <c r="H209" i="2"/>
  <c r="H15" i="2"/>
  <c r="G15" i="2"/>
  <c r="H264" i="2"/>
  <c r="F264" i="2"/>
  <c r="G284" i="2"/>
  <c r="E264" i="2"/>
  <c r="F166" i="2"/>
  <c r="E186" i="2"/>
  <c r="F502" i="2"/>
  <c r="F209" i="2"/>
  <c r="E564" i="2"/>
  <c r="G458" i="2"/>
  <c r="H458" i="2"/>
  <c r="G564" i="2"/>
  <c r="H502" i="2"/>
  <c r="E15" i="2"/>
  <c r="F564" i="2"/>
  <c r="G502" i="2"/>
  <c r="E166" i="2"/>
  <c r="F186" i="2"/>
  <c r="G315" i="2"/>
  <c r="H315" i="2"/>
  <c r="H186" i="2"/>
  <c r="F284" i="2"/>
  <c r="E315" i="2"/>
  <c r="G166" i="2"/>
  <c r="E209" i="2"/>
  <c r="E502" i="2"/>
  <c r="F315" i="2"/>
  <c r="G186" i="2"/>
  <c r="G264" i="2"/>
  <c r="H284" i="2"/>
  <c r="G209" i="2"/>
  <c r="H564" i="2"/>
  <c r="H166" i="2"/>
  <c r="F15" i="2"/>
  <c r="E458" i="2"/>
  <c r="G281" i="2"/>
  <c r="G479" i="2"/>
  <c r="E70" i="2"/>
  <c r="F409" i="2"/>
  <c r="E409" i="2"/>
  <c r="E10" i="2"/>
  <c r="G10" i="2"/>
  <c r="G241" i="2"/>
  <c r="F119" i="2"/>
  <c r="F265" i="2"/>
  <c r="H265" i="2"/>
  <c r="H479" i="2"/>
  <c r="H10" i="2"/>
  <c r="H525" i="2"/>
  <c r="H119" i="2"/>
  <c r="G119" i="2"/>
  <c r="F525" i="2"/>
  <c r="E56" i="2"/>
  <c r="F241" i="2"/>
  <c r="E281" i="2"/>
  <c r="F479" i="2"/>
  <c r="F56" i="2"/>
  <c r="F70" i="2"/>
  <c r="E265" i="2"/>
  <c r="H281" i="2"/>
  <c r="G409" i="2"/>
  <c r="G70" i="2"/>
  <c r="H56" i="2"/>
  <c r="G525" i="2"/>
  <c r="E525" i="2"/>
  <c r="G265" i="2"/>
  <c r="H70" i="2"/>
  <c r="E119" i="2"/>
  <c r="H409" i="2"/>
  <c r="E241" i="2"/>
  <c r="G56" i="2"/>
  <c r="H241" i="2"/>
  <c r="F281" i="2"/>
  <c r="F10" i="2"/>
  <c r="E479" i="2"/>
  <c r="F217" i="2"/>
  <c r="E83" i="2"/>
  <c r="H83" i="2"/>
  <c r="G604" i="2"/>
  <c r="E153" i="2"/>
  <c r="G153" i="2"/>
  <c r="E248" i="2"/>
  <c r="E436" i="2"/>
  <c r="H51" i="2"/>
  <c r="H311" i="2"/>
  <c r="H604" i="2"/>
  <c r="G9" i="2"/>
  <c r="F153" i="2"/>
  <c r="E410" i="2"/>
  <c r="H637" i="2"/>
  <c r="H635" i="2"/>
  <c r="H633" i="2"/>
  <c r="H631" i="2"/>
  <c r="H629" i="2"/>
  <c r="H627" i="2"/>
  <c r="H625" i="2"/>
  <c r="H542" i="2"/>
  <c r="H530" i="2"/>
  <c r="H528" i="2"/>
  <c r="G302" i="2"/>
  <c r="E311" i="2"/>
  <c r="E457" i="2"/>
  <c r="E406" i="2"/>
  <c r="H9" i="2"/>
  <c r="H410" i="2"/>
  <c r="H371" i="2"/>
  <c r="F9" i="2"/>
  <c r="E603" i="2"/>
  <c r="E637" i="2"/>
  <c r="E635" i="2"/>
  <c r="E633" i="2"/>
  <c r="E631" i="2"/>
  <c r="E629" i="2"/>
  <c r="E627" i="2"/>
  <c r="E625" i="2"/>
  <c r="E542" i="2"/>
  <c r="E530" i="2"/>
  <c r="E528" i="2"/>
  <c r="F433" i="2"/>
  <c r="G603" i="2"/>
  <c r="G448" i="2"/>
  <c r="H268" i="2"/>
  <c r="F371" i="2"/>
  <c r="E51" i="2"/>
  <c r="E268" i="2"/>
  <c r="F406" i="2"/>
  <c r="G637" i="2"/>
  <c r="G635" i="2"/>
  <c r="G633" i="2"/>
  <c r="G631" i="2"/>
  <c r="G629" i="2"/>
  <c r="G627" i="2"/>
  <c r="G625" i="2"/>
  <c r="G542" i="2"/>
  <c r="G530" i="2"/>
  <c r="G528" i="2"/>
  <c r="F436" i="2"/>
  <c r="H433" i="2"/>
  <c r="G406" i="2"/>
  <c r="E217" i="2"/>
  <c r="E433" i="2"/>
  <c r="E486" i="2"/>
  <c r="F302" i="2"/>
  <c r="G248" i="2"/>
  <c r="G410" i="2"/>
  <c r="H603" i="2"/>
  <c r="F604" i="2"/>
  <c r="F51" i="2"/>
  <c r="H457" i="2"/>
  <c r="G371" i="2"/>
  <c r="G486" i="2"/>
  <c r="G217" i="2"/>
  <c r="F448" i="2"/>
  <c r="F83" i="2"/>
  <c r="H302" i="2"/>
  <c r="G433" i="2"/>
  <c r="F268" i="2"/>
  <c r="H217" i="2"/>
  <c r="F410" i="2"/>
  <c r="E9" i="2"/>
  <c r="G268" i="2"/>
  <c r="E371" i="2"/>
  <c r="F603" i="2"/>
  <c r="F637" i="2"/>
  <c r="F635" i="2"/>
  <c r="F633" i="2"/>
  <c r="F631" i="2"/>
  <c r="F629" i="2"/>
  <c r="F627" i="2"/>
  <c r="F625" i="2"/>
  <c r="F542" i="2"/>
  <c r="F530" i="2"/>
  <c r="F528" i="2"/>
  <c r="G51" i="2"/>
  <c r="G83" i="2"/>
  <c r="G436" i="2"/>
  <c r="G457" i="2"/>
  <c r="H248" i="2"/>
  <c r="F311" i="2"/>
  <c r="H448" i="2"/>
  <c r="F486" i="2"/>
  <c r="E604" i="2"/>
  <c r="F457" i="2"/>
  <c r="E448" i="2"/>
  <c r="H436" i="2"/>
  <c r="E302" i="2"/>
  <c r="H486" i="2"/>
  <c r="G311" i="2"/>
  <c r="F248" i="2"/>
  <c r="H406" i="2"/>
  <c r="H153" i="2"/>
  <c r="H493" i="2"/>
  <c r="H608" i="2"/>
  <c r="E320" i="2"/>
  <c r="E412" i="2"/>
  <c r="F400" i="2"/>
  <c r="E493" i="2"/>
  <c r="F320" i="2"/>
  <c r="H326" i="2"/>
  <c r="H105" i="2"/>
  <c r="G412" i="2"/>
  <c r="H455" i="2"/>
  <c r="F405" i="2"/>
  <c r="H106" i="2"/>
  <c r="E106" i="2"/>
  <c r="H401" i="2"/>
  <c r="E455" i="2"/>
  <c r="F412" i="2"/>
  <c r="G421" i="2"/>
  <c r="H203" i="2"/>
  <c r="H492" i="2"/>
  <c r="G320" i="2"/>
  <c r="G105" i="2"/>
  <c r="G492" i="2"/>
  <c r="G405" i="2"/>
  <c r="E91" i="2"/>
  <c r="E105" i="2"/>
  <c r="G608" i="2"/>
  <c r="E405" i="2"/>
  <c r="G91" i="2"/>
  <c r="G106" i="2"/>
  <c r="G322" i="2"/>
  <c r="G258" i="2"/>
  <c r="E610" i="2"/>
  <c r="H258" i="2"/>
  <c r="E52" i="2"/>
  <c r="E421" i="2"/>
  <c r="E258" i="2"/>
  <c r="F493" i="2"/>
  <c r="F455" i="2"/>
  <c r="F52" i="2"/>
  <c r="H52" i="2"/>
  <c r="E400" i="2"/>
  <c r="E492" i="2"/>
  <c r="H421" i="2"/>
  <c r="E203" i="2"/>
  <c r="H521" i="2"/>
  <c r="F610" i="2"/>
  <c r="G521" i="2"/>
  <c r="G610" i="2"/>
  <c r="G401" i="2"/>
  <c r="H91" i="2"/>
  <c r="F203" i="2"/>
  <c r="E326" i="2"/>
  <c r="H400" i="2"/>
  <c r="F322" i="2"/>
  <c r="E322" i="2"/>
  <c r="E521" i="2"/>
  <c r="F608" i="2"/>
  <c r="F326" i="2"/>
  <c r="E401" i="2"/>
  <c r="F91" i="2"/>
  <c r="H322" i="2"/>
  <c r="F258" i="2"/>
  <c r="G52" i="2"/>
  <c r="F105" i="2"/>
  <c r="E608" i="2"/>
  <c r="G326" i="2"/>
  <c r="H412" i="2"/>
  <c r="F521" i="2"/>
  <c r="F421" i="2"/>
  <c r="H320" i="2"/>
  <c r="F492" i="2"/>
  <c r="G455" i="2"/>
  <c r="G203" i="2"/>
  <c r="G400" i="2"/>
  <c r="F401" i="2"/>
  <c r="F106" i="2"/>
  <c r="H610" i="2"/>
  <c r="H405" i="2"/>
  <c r="G493" i="2"/>
  <c r="E332" i="2"/>
  <c r="G407" i="2"/>
  <c r="G174" i="2"/>
  <c r="H261" i="2"/>
  <c r="E599" i="2"/>
  <c r="E270" i="2"/>
  <c r="G332" i="2"/>
  <c r="H174" i="2"/>
  <c r="F39" i="2"/>
  <c r="F129" i="2"/>
  <c r="H505" i="2"/>
  <c r="G39" i="2"/>
  <c r="G261" i="2"/>
  <c r="E407" i="2"/>
  <c r="E505" i="2"/>
  <c r="H289" i="2"/>
  <c r="H599" i="2"/>
  <c r="E174" i="2"/>
  <c r="E289" i="2"/>
  <c r="H129" i="2"/>
  <c r="F599" i="2"/>
  <c r="H270" i="2"/>
  <c r="G129" i="2"/>
  <c r="G505" i="2"/>
  <c r="F407" i="2"/>
  <c r="H39" i="2"/>
  <c r="E261" i="2"/>
  <c r="F289" i="2"/>
  <c r="H332" i="2"/>
  <c r="G599" i="2"/>
  <c r="F270" i="2"/>
  <c r="F174" i="2"/>
  <c r="G289" i="2"/>
  <c r="G270" i="2"/>
  <c r="F505" i="2"/>
  <c r="H407" i="2"/>
  <c r="E129" i="2"/>
  <c r="F332" i="2"/>
  <c r="E39" i="2"/>
  <c r="F261" i="2"/>
  <c r="G595" i="2"/>
  <c r="H403" i="2"/>
  <c r="F5" i="2"/>
  <c r="H335" i="2"/>
  <c r="F595" i="2"/>
  <c r="H300" i="2"/>
  <c r="F403" i="2"/>
  <c r="F299" i="2"/>
  <c r="E300" i="2"/>
  <c r="G12" i="2"/>
  <c r="G393" i="2"/>
  <c r="G300" i="2"/>
  <c r="H299" i="2"/>
  <c r="H393" i="2"/>
  <c r="E12" i="2"/>
  <c r="H45" i="2"/>
  <c r="H18" i="2"/>
  <c r="E335" i="2"/>
  <c r="E595" i="2"/>
  <c r="H5" i="2"/>
  <c r="E393" i="2"/>
  <c r="G45" i="2"/>
  <c r="G18" i="2"/>
  <c r="E290" i="2"/>
  <c r="G290" i="2"/>
  <c r="F335" i="2"/>
  <c r="E45" i="2"/>
  <c r="E18" i="2"/>
  <c r="H290" i="2"/>
  <c r="H12" i="2"/>
  <c r="G5" i="2"/>
  <c r="E403" i="2"/>
  <c r="E299" i="2"/>
  <c r="F393" i="2"/>
  <c r="F45" i="2"/>
  <c r="F18" i="2"/>
  <c r="G335" i="2"/>
  <c r="H595" i="2"/>
  <c r="F12" i="2"/>
  <c r="F300" i="2"/>
  <c r="F290" i="2"/>
  <c r="E5" i="2"/>
  <c r="G299" i="2"/>
  <c r="G403" i="2"/>
  <c r="G443" i="2"/>
  <c r="H352" i="2"/>
  <c r="G131" i="2"/>
  <c r="H43" i="2"/>
  <c r="E286" i="2"/>
  <c r="F43" i="2"/>
  <c r="G159" i="2"/>
  <c r="G286" i="2"/>
  <c r="F541" i="2"/>
  <c r="H131" i="2"/>
  <c r="F286" i="2"/>
  <c r="H623" i="2"/>
  <c r="E623" i="2"/>
  <c r="F553" i="2"/>
  <c r="G43" i="2"/>
  <c r="F352" i="2"/>
  <c r="F159" i="2"/>
  <c r="E443" i="2"/>
  <c r="H541" i="2"/>
  <c r="F380" i="2"/>
  <c r="G553" i="2"/>
  <c r="F131" i="2"/>
  <c r="F443" i="2"/>
  <c r="G623" i="2"/>
  <c r="H380" i="2"/>
  <c r="E380" i="2"/>
  <c r="E159" i="2"/>
  <c r="H553" i="2"/>
  <c r="E352" i="2"/>
  <c r="G541" i="2"/>
  <c r="H159" i="2"/>
  <c r="G352" i="2"/>
  <c r="F623" i="2"/>
  <c r="E131" i="2"/>
  <c r="E43" i="2"/>
  <c r="H443" i="2"/>
  <c r="E541" i="2"/>
  <c r="G380" i="2"/>
  <c r="H286" i="2"/>
  <c r="E553" i="2"/>
  <c r="F161" i="2"/>
  <c r="F116" i="2"/>
  <c r="G547" i="2"/>
  <c r="E340" i="2"/>
  <c r="G512" i="2"/>
  <c r="E451" i="2"/>
  <c r="E547" i="2"/>
  <c r="G161" i="2"/>
  <c r="G340" i="2"/>
  <c r="E512" i="2"/>
  <c r="E116" i="2"/>
  <c r="F512" i="2"/>
  <c r="F522" i="2"/>
  <c r="E146" i="2"/>
  <c r="G522" i="2"/>
  <c r="F596" i="2"/>
  <c r="H161" i="2"/>
  <c r="H596" i="2"/>
  <c r="H451" i="2"/>
  <c r="E596" i="2"/>
  <c r="G451" i="2"/>
  <c r="F146" i="2"/>
  <c r="E522" i="2"/>
  <c r="H340" i="2"/>
  <c r="H146" i="2"/>
  <c r="H116" i="2"/>
  <c r="H375" i="2"/>
  <c r="F375" i="2"/>
  <c r="H547" i="2"/>
  <c r="E375" i="2"/>
  <c r="E161" i="2"/>
  <c r="F547" i="2"/>
  <c r="G146" i="2"/>
  <c r="H522" i="2"/>
  <c r="G596" i="2"/>
  <c r="G375" i="2"/>
  <c r="G116" i="2"/>
  <c r="F340" i="2"/>
  <c r="F451" i="2"/>
  <c r="H512" i="2"/>
  <c r="H402" i="2"/>
  <c r="G402" i="2"/>
  <c r="G30" i="2"/>
  <c r="F391" i="2"/>
  <c r="F30" i="2"/>
  <c r="H569" i="2"/>
  <c r="E569" i="2"/>
  <c r="H615" i="2"/>
  <c r="E615" i="2"/>
  <c r="F402" i="2"/>
  <c r="E484" i="2"/>
  <c r="E57" i="2"/>
  <c r="G569" i="2"/>
  <c r="F57" i="2"/>
  <c r="E501" i="2"/>
  <c r="F574" i="2"/>
  <c r="F594" i="2"/>
  <c r="G57" i="2"/>
  <c r="G501" i="2"/>
  <c r="G594" i="2"/>
  <c r="F615" i="2"/>
  <c r="G484" i="2"/>
  <c r="G574" i="2"/>
  <c r="E574" i="2"/>
  <c r="F501" i="2"/>
  <c r="E594" i="2"/>
  <c r="E30" i="2"/>
  <c r="F484" i="2"/>
  <c r="E391" i="2"/>
  <c r="G391" i="2"/>
  <c r="H574" i="2"/>
  <c r="H594" i="2"/>
  <c r="F569" i="2"/>
  <c r="H30" i="2"/>
  <c r="H501" i="2"/>
  <c r="H57" i="2"/>
  <c r="G615" i="2"/>
  <c r="H391" i="2"/>
  <c r="H484" i="2"/>
  <c r="E402" i="2"/>
</calcChain>
</file>

<file path=xl/sharedStrings.xml><?xml version="1.0" encoding="utf-8"?>
<sst xmlns="http://schemas.openxmlformats.org/spreadsheetml/2006/main" count="7011" uniqueCount="2569">
  <si>
    <t>Account</t>
  </si>
  <si>
    <t>bbgid</t>
  </si>
  <si>
    <t>submissionType</t>
  </si>
  <si>
    <t>liveTestFlag</t>
  </si>
  <si>
    <t>repPdEnd</t>
  </si>
  <si>
    <t>repPdDate</t>
  </si>
  <si>
    <t>isFinalFiling</t>
  </si>
  <si>
    <t>dateSigned</t>
  </si>
  <si>
    <t>totAssets</t>
  </si>
  <si>
    <t>totLiabs</t>
  </si>
  <si>
    <t>netAssets</t>
  </si>
  <si>
    <t>assetsAttrMiscSec</t>
  </si>
  <si>
    <t>assetsInvested</t>
  </si>
  <si>
    <t>amtPayOneYrBanksBorr</t>
  </si>
  <si>
    <t>amtPayOneYrCtrldComp</t>
  </si>
  <si>
    <t>amtPayOneYrOthAffil</t>
  </si>
  <si>
    <t>amtPayOneYrOther</t>
  </si>
  <si>
    <t>amtPayAftOneYrBanksBorr</t>
  </si>
  <si>
    <t>amtPayAftOneYrCtrldComp</t>
  </si>
  <si>
    <t>amtPayAftOneYrOthAffil</t>
  </si>
  <si>
    <t>amtPayAftOneYrOther</t>
  </si>
  <si>
    <t>delayDeliv</t>
  </si>
  <si>
    <t>standByCommit</t>
  </si>
  <si>
    <t>liquidPref</t>
  </si>
  <si>
    <t>isNonCashCollateral</t>
  </si>
  <si>
    <t>rtn1</t>
  </si>
  <si>
    <t>rtn2</t>
  </si>
  <si>
    <t>rtn3</t>
  </si>
  <si>
    <t>netRealizedGainMon1</t>
  </si>
  <si>
    <t>netUnrealizedApprMon1</t>
  </si>
  <si>
    <t>netRealizedGainMon2</t>
  </si>
  <si>
    <t>netUnrealizedApprMon2</t>
  </si>
  <si>
    <t>netRealizedGainMon3</t>
  </si>
  <si>
    <t>netUnrealizedApprMon3</t>
  </si>
  <si>
    <t>mon1Sales</t>
  </si>
  <si>
    <t>mon1Redemption</t>
  </si>
  <si>
    <t>mon1Reinvestment</t>
  </si>
  <si>
    <t>mon2Sales</t>
  </si>
  <si>
    <t>mon2Redemption</t>
  </si>
  <si>
    <t>mon2Reinvestment</t>
  </si>
  <si>
    <t>mon3Sales</t>
  </si>
  <si>
    <t>mon3Redemption</t>
  </si>
  <si>
    <t>mon3Reinvestment</t>
  </si>
  <si>
    <t>nameDesignatedIndex</t>
  </si>
  <si>
    <t>indexIdentifier</t>
  </si>
  <si>
    <t>ACLZ</t>
  </si>
  <si>
    <t>ACLZ US Equity</t>
  </si>
  <si>
    <t>NPORT-P</t>
  </si>
  <si>
    <t>TEST</t>
  </si>
  <si>
    <t>2026-06-30</t>
  </si>
  <si>
    <t>N</t>
  </si>
  <si>
    <t>2026-07-31</t>
  </si>
  <si>
    <t>513289.03</t>
  </si>
  <si>
    <t>269435.03</t>
  </si>
  <si>
    <t>243854.00</t>
  </si>
  <si>
    <t>0</t>
  </si>
  <si>
    <t>N/A</t>
  </si>
  <si>
    <t>0.00</t>
  </si>
  <si>
    <t>250000.00</t>
  </si>
  <si>
    <t>S&amp;P 500 Index</t>
  </si>
  <si>
    <t>SPX</t>
  </si>
  <si>
    <t>ACMM</t>
  </si>
  <si>
    <t>ACMM US Equity</t>
  </si>
  <si>
    <t>769496.75</t>
  </si>
  <si>
    <t>506928.75</t>
  </si>
  <si>
    <t>262568.00</t>
  </si>
  <si>
    <t>AV</t>
  </si>
  <si>
    <t>AV US Equity</t>
  </si>
  <si>
    <t>1423815.00</t>
  </si>
  <si>
    <t>1299519.00</t>
  </si>
  <si>
    <t>BAY</t>
  </si>
  <si>
    <t>BAY US Equity</t>
  </si>
  <si>
    <t>1970766.00</t>
  </si>
  <si>
    <t>1847615.00</t>
  </si>
  <si>
    <t>BLCK</t>
  </si>
  <si>
    <t>BLCK US Equity</t>
  </si>
  <si>
    <t>1260375.00</t>
  </si>
  <si>
    <t>1389791.00</t>
  </si>
  <si>
    <t>BREW</t>
  </si>
  <si>
    <t>BREW US Equity</t>
  </si>
  <si>
    <t>1611138.00</t>
  </si>
  <si>
    <t>1530895.00</t>
  </si>
  <si>
    <t>BRZX</t>
  </si>
  <si>
    <t>BRZX US Equity</t>
  </si>
  <si>
    <t>722582.18</t>
  </si>
  <si>
    <t>383886.68</t>
  </si>
  <si>
    <t>338695.50</t>
  </si>
  <si>
    <t>581204.50</t>
  </si>
  <si>
    <t>229915.00</t>
  </si>
  <si>
    <t>MSCI ACWI Index</t>
  </si>
  <si>
    <t>MXWD</t>
  </si>
  <si>
    <t>BZZ</t>
  </si>
  <si>
    <t>BZZ US Equity</t>
  </si>
  <si>
    <t>4136685.00</t>
  </si>
  <si>
    <t>3103078.50</t>
  </si>
  <si>
    <t>1746666.00</t>
  </si>
  <si>
    <t>CAMC</t>
  </si>
  <si>
    <t>CAMC US Equity</t>
  </si>
  <si>
    <t>512807.36</t>
  </si>
  <si>
    <t>270024.36</t>
  </si>
  <si>
    <t>242783.00</t>
  </si>
  <si>
    <t>CARX</t>
  </si>
  <si>
    <t>CARX US Equity</t>
  </si>
  <si>
    <t>536777.93</t>
  </si>
  <si>
    <t>281170.93</t>
  </si>
  <si>
    <t>255607.00</t>
  </si>
  <si>
    <t>CBIL</t>
  </si>
  <si>
    <t>CBIL US Equity</t>
  </si>
  <si>
    <t>17030246.20</t>
  </si>
  <si>
    <t>326.20</t>
  </si>
  <si>
    <t>17029920.00</t>
  </si>
  <si>
    <t>17009188.00</t>
  </si>
  <si>
    <t>FTSE US Treasury Bill 3-12 Months Index</t>
  </si>
  <si>
    <t>CFIIBL3P</t>
  </si>
  <si>
    <t>CBOT</t>
  </si>
  <si>
    <t>CBOT US Equity</t>
  </si>
  <si>
    <t>3474203.48</t>
  </si>
  <si>
    <t>119.48</t>
  </si>
  <si>
    <t>3474084.00</t>
  </si>
  <si>
    <t>2529682.00</t>
  </si>
  <si>
    <t>1370925.00</t>
  </si>
  <si>
    <t>CCPX</t>
  </si>
  <si>
    <t>CCPX US Equity</t>
  </si>
  <si>
    <t>2714187.20</t>
  </si>
  <si>
    <t>1418028.70</t>
  </si>
  <si>
    <t>1296158.50</t>
  </si>
  <si>
    <t>1502423.00</t>
  </si>
  <si>
    <t>CGOV</t>
  </si>
  <si>
    <t>CGOV US Equity</t>
  </si>
  <si>
    <t>17536750.00</t>
  </si>
  <si>
    <t>17512385.00</t>
  </si>
  <si>
    <t>FTSE 3-Month US Treasury Bill Index</t>
  </si>
  <si>
    <t>SBMMTB3</t>
  </si>
  <si>
    <t>CHYG</t>
  </si>
  <si>
    <t>CHYG US Equity</t>
  </si>
  <si>
    <t>5506974.00</t>
  </si>
  <si>
    <t>5496632.00</t>
  </si>
  <si>
    <t>FTSE US High-Yield Market 0-5 Years 2% Capped Index</t>
  </si>
  <si>
    <t>CFIIH52C</t>
  </si>
  <si>
    <t>CIEI</t>
  </si>
  <si>
    <t>CIEI US Equity</t>
  </si>
  <si>
    <t>2258901.00</t>
  </si>
  <si>
    <t>2253220.00</t>
  </si>
  <si>
    <t>FTSE US Treasury 3-7 Years Index</t>
  </si>
  <si>
    <t>CFIIBD37</t>
  </si>
  <si>
    <t>CIVG</t>
  </si>
  <si>
    <t>CIVG US Equity</t>
  </si>
  <si>
    <t>4258415.00</t>
  </si>
  <si>
    <t>4253878.00</t>
  </si>
  <si>
    <t>FTSE US Broad Investment-Grade Corporate Bond 1-5 Years Index</t>
  </si>
  <si>
    <t>SBUSC15U</t>
  </si>
  <si>
    <t>CJUN</t>
  </si>
  <si>
    <t>CJUN US Equity</t>
  </si>
  <si>
    <t>1416808.14</t>
  </si>
  <si>
    <t>54469.14</t>
  </si>
  <si>
    <t>1362339.00</t>
  </si>
  <si>
    <t>1376042.50</t>
  </si>
  <si>
    <t>CMAG</t>
  </si>
  <si>
    <t>CMAG US Equity</t>
  </si>
  <si>
    <t>11879494.56</t>
  </si>
  <si>
    <t>3195524.06</t>
  </si>
  <si>
    <t>8683970.50</t>
  </si>
  <si>
    <t>2294757.00</t>
  </si>
  <si>
    <t>6815911.00</t>
  </si>
  <si>
    <t>CMAY</t>
  </si>
  <si>
    <t>CMAY US Equity</t>
  </si>
  <si>
    <t>5252199.90</t>
  </si>
  <si>
    <t>278958.90</t>
  </si>
  <si>
    <t>4973241.00</t>
  </si>
  <si>
    <t>1000000.00</t>
  </si>
  <si>
    <t>4273715.00</t>
  </si>
  <si>
    <t>256324.00</t>
  </si>
  <si>
    <t>642990.00</t>
  </si>
  <si>
    <t>S&amp;P 500 Total Return Index</t>
  </si>
  <si>
    <t>SPXT</t>
  </si>
  <si>
    <t>CQTM</t>
  </si>
  <si>
    <t>CQTM US Equity</t>
  </si>
  <si>
    <t>15845049.15</t>
  </si>
  <si>
    <t>2340.65</t>
  </si>
  <si>
    <t>15842708.50</t>
  </si>
  <si>
    <t>7884070.00</t>
  </si>
  <si>
    <t>7630580.00</t>
  </si>
  <si>
    <t>CRUC</t>
  </si>
  <si>
    <t>CRUC US Equity</t>
  </si>
  <si>
    <t>522974.35</t>
  </si>
  <si>
    <t>273250.35</t>
  </si>
  <si>
    <t>249724.00</t>
  </si>
  <si>
    <t>CTJN</t>
  </si>
  <si>
    <t>CTJN US Equity</t>
  </si>
  <si>
    <t>1009547.16</t>
  </si>
  <si>
    <t>20927.16</t>
  </si>
  <si>
    <t>988620.00</t>
  </si>
  <si>
    <t>CTMA</t>
  </si>
  <si>
    <t>CTMA US Equity</t>
  </si>
  <si>
    <t>4866016.69</t>
  </si>
  <si>
    <t>177691.19</t>
  </si>
  <si>
    <t>4688325.50</t>
  </si>
  <si>
    <t>5156498.50</t>
  </si>
  <si>
    <t>127986.50</t>
  </si>
  <si>
    <t>639952.50</t>
  </si>
  <si>
    <t>CUST</t>
  </si>
  <si>
    <t>CUST US Equity</t>
  </si>
  <si>
    <t>7509930.00</t>
  </si>
  <si>
    <t>7508946.00</t>
  </si>
  <si>
    <t>FTSE US Treasury 1-3 Years Index</t>
  </si>
  <si>
    <t>SBUST13U</t>
  </si>
  <si>
    <t>DIPR</t>
  </si>
  <si>
    <t>DIPR US Equity</t>
  </si>
  <si>
    <t>3356150.00</t>
  </si>
  <si>
    <t>3953025.00</t>
  </si>
  <si>
    <t>DOCK</t>
  </si>
  <si>
    <t>DOCK US Equity</t>
  </si>
  <si>
    <t>1591062.00</t>
  </si>
  <si>
    <t>1543757.50</t>
  </si>
  <si>
    <t>EMJN</t>
  </si>
  <si>
    <t>EMJN US Equity</t>
  </si>
  <si>
    <t>1599841.05</t>
  </si>
  <si>
    <t>146989.05</t>
  </si>
  <si>
    <t>1452852.00</t>
  </si>
  <si>
    <t>1478270.00</t>
  </si>
  <si>
    <t>MSCI Emerging Markets Index</t>
  </si>
  <si>
    <t>MXEF</t>
  </si>
  <si>
    <t>EMMY</t>
  </si>
  <si>
    <t>EMMY US Equity</t>
  </si>
  <si>
    <t>5697902.25</t>
  </si>
  <si>
    <t>529193.25</t>
  </si>
  <si>
    <t>5168709.00</t>
  </si>
  <si>
    <t>6290660.00</t>
  </si>
  <si>
    <t>1380931.00</t>
  </si>
  <si>
    <t>1492246.00</t>
  </si>
  <si>
    <t>1122700.50</t>
  </si>
  <si>
    <t>EMXX</t>
  </si>
  <si>
    <t>EMXX US Equity</t>
  </si>
  <si>
    <t>1103819.07</t>
  </si>
  <si>
    <t>643115.07</t>
  </si>
  <si>
    <t>460704.00</t>
  </si>
  <si>
    <t>482030.00</t>
  </si>
  <si>
    <t>EUV</t>
  </si>
  <si>
    <t>EUV US Equity</t>
  </si>
  <si>
    <t>382008474.00</t>
  </si>
  <si>
    <t>265532448.00</t>
  </si>
  <si>
    <t>66074182.50</t>
  </si>
  <si>
    <t>199372812.50</t>
  </si>
  <si>
    <t>29987946.00</t>
  </si>
  <si>
    <t>EUVX</t>
  </si>
  <si>
    <t>EUVX US Equity</t>
  </si>
  <si>
    <t>4014364.06</t>
  </si>
  <si>
    <t>2068280.56</t>
  </si>
  <si>
    <t>1946083.50</t>
  </si>
  <si>
    <t>1935838.00</t>
  </si>
  <si>
    <t>EYES</t>
  </si>
  <si>
    <t>EYES US Equity</t>
  </si>
  <si>
    <t>3046762.50</t>
  </si>
  <si>
    <t>3349803.50</t>
  </si>
  <si>
    <t>FDRS</t>
  </si>
  <si>
    <t>FDRS US Equity</t>
  </si>
  <si>
    <t>98461524.00</t>
  </si>
  <si>
    <t>53780344.00</t>
  </si>
  <si>
    <t>9102349.00</t>
  </si>
  <si>
    <t>1157510.00</t>
  </si>
  <si>
    <t>18541933.00</t>
  </si>
  <si>
    <t>5398231.00</t>
  </si>
  <si>
    <t>FDRX</t>
  </si>
  <si>
    <t>FDRX US Equity</t>
  </si>
  <si>
    <t>35284159.85</t>
  </si>
  <si>
    <t>18510769.85</t>
  </si>
  <si>
    <t>16773390.00</t>
  </si>
  <si>
    <t>8086283.00</t>
  </si>
  <si>
    <t>2047077.00</t>
  </si>
  <si>
    <t>642372.00</t>
  </si>
  <si>
    <t>GASZ</t>
  </si>
  <si>
    <t>GASZ US Equity</t>
  </si>
  <si>
    <t>11602762.83</t>
  </si>
  <si>
    <t>454.83</t>
  </si>
  <si>
    <t>11602308.00</t>
  </si>
  <si>
    <t>4335250.50</t>
  </si>
  <si>
    <t>6753702.00</t>
  </si>
  <si>
    <t>GLAM</t>
  </si>
  <si>
    <t>GLAM US Equity</t>
  </si>
  <si>
    <t>1480787.00</t>
  </si>
  <si>
    <t>1408622.50</t>
  </si>
  <si>
    <t>GNMX</t>
  </si>
  <si>
    <t>GNMX US Equity</t>
  </si>
  <si>
    <t>1605566.79</t>
  </si>
  <si>
    <t>182.79</t>
  </si>
  <si>
    <t>1605384.00</t>
  </si>
  <si>
    <t>1402266.00</t>
  </si>
  <si>
    <t>GPTZ</t>
  </si>
  <si>
    <t>GPTZ US Equity</t>
  </si>
  <si>
    <t>125000.00</t>
  </si>
  <si>
    <t>HJUN</t>
  </si>
  <si>
    <t>HJUN US Equity</t>
  </si>
  <si>
    <t>1410957.21</t>
  </si>
  <si>
    <t>39163.71</t>
  </si>
  <si>
    <t>1371793.50</t>
  </si>
  <si>
    <t>1374316.00</t>
  </si>
  <si>
    <t>HMAY</t>
  </si>
  <si>
    <t>HMAY US Equity</t>
  </si>
  <si>
    <t>5052411.70</t>
  </si>
  <si>
    <t>257058.70</t>
  </si>
  <si>
    <t>4795353.00</t>
  </si>
  <si>
    <t>5271380.50</t>
  </si>
  <si>
    <t>506546.00</t>
  </si>
  <si>
    <t>HULL</t>
  </si>
  <si>
    <t>HULL US Equity</t>
  </si>
  <si>
    <t>2392759.76</t>
  </si>
  <si>
    <t>4298.26</t>
  </si>
  <si>
    <t>2388461.50</t>
  </si>
  <si>
    <t>2827856.00</t>
  </si>
  <si>
    <t>382447.50</t>
  </si>
  <si>
    <t>IDJN</t>
  </si>
  <si>
    <t>IDJN US Equity</t>
  </si>
  <si>
    <t>1020025.28</t>
  </si>
  <si>
    <t>37305.28</t>
  </si>
  <si>
    <t>982720.00</t>
  </si>
  <si>
    <t>1491906.00</t>
  </si>
  <si>
    <t>497848.00</t>
  </si>
  <si>
    <t>MSCI EAFE Index</t>
  </si>
  <si>
    <t>MXEA</t>
  </si>
  <si>
    <t>IDMY</t>
  </si>
  <si>
    <t>IDMY US Equity</t>
  </si>
  <si>
    <t>4907668.10</t>
  </si>
  <si>
    <t>171025.10</t>
  </si>
  <si>
    <t>4736643.00</t>
  </si>
  <si>
    <t>5167504.00</t>
  </si>
  <si>
    <t>376906.50</t>
  </si>
  <si>
    <t>JOUL</t>
  </si>
  <si>
    <t>JOUL US Equity</t>
  </si>
  <si>
    <t>11759866.52</t>
  </si>
  <si>
    <t>1051.52</t>
  </si>
  <si>
    <t>11758815.00</t>
  </si>
  <si>
    <t>7211386.00</t>
  </si>
  <si>
    <t>4376043.00</t>
  </si>
  <si>
    <t>JUNC</t>
  </si>
  <si>
    <t>JUNC US Equity</t>
  </si>
  <si>
    <t>1283489.96</t>
  </si>
  <si>
    <t>51689.96</t>
  </si>
  <si>
    <t>1231800.00</t>
  </si>
  <si>
    <t>1246176.00</t>
  </si>
  <si>
    <t>KEYX</t>
  </si>
  <si>
    <t>KEYX US Equity</t>
  </si>
  <si>
    <t>522050.94</t>
  </si>
  <si>
    <t>273781.94</t>
  </si>
  <si>
    <t>248269.00</t>
  </si>
  <si>
    <t>KRWX</t>
  </si>
  <si>
    <t>KRWX US Equity</t>
  </si>
  <si>
    <t>2845473.03</t>
  </si>
  <si>
    <t>1473998.03</t>
  </si>
  <si>
    <t>1371475.00</t>
  </si>
  <si>
    <t>2356487.00</t>
  </si>
  <si>
    <t>1287098.00</t>
  </si>
  <si>
    <t>KYC</t>
  </si>
  <si>
    <t>KYC US Equity</t>
  </si>
  <si>
    <t>1412034.00</t>
  </si>
  <si>
    <t>1478468.00</t>
  </si>
  <si>
    <t>LASC</t>
  </si>
  <si>
    <t>LASC US Equity</t>
  </si>
  <si>
    <t>486206.86</t>
  </si>
  <si>
    <t>255888.86</t>
  </si>
  <si>
    <t>230318.00</t>
  </si>
  <si>
    <t>LATR</t>
  </si>
  <si>
    <t>LATR US Equity</t>
  </si>
  <si>
    <t>1568565.15</t>
  </si>
  <si>
    <t>129.15</t>
  </si>
  <si>
    <t>1568436.00</t>
  </si>
  <si>
    <t>1470328.00</t>
  </si>
  <si>
    <t>LRNX</t>
  </si>
  <si>
    <t>LRNX US Equity</t>
  </si>
  <si>
    <t>546807.62</t>
  </si>
  <si>
    <t>285685.62</t>
  </si>
  <si>
    <t>261122.00</t>
  </si>
  <si>
    <t>MAYC</t>
  </si>
  <si>
    <t>MAYC US Equity</t>
  </si>
  <si>
    <t>4983364.71</t>
  </si>
  <si>
    <t>253728.71</t>
  </si>
  <si>
    <t>4729636.00</t>
  </si>
  <si>
    <t>4275755.00</t>
  </si>
  <si>
    <t>646830.00</t>
  </si>
  <si>
    <t>MGKX</t>
  </si>
  <si>
    <t>MGKX US Equity</t>
  </si>
  <si>
    <t>864663.64</t>
  </si>
  <si>
    <t>545345.14</t>
  </si>
  <si>
    <t>319318.50</t>
  </si>
  <si>
    <t>582704.50</t>
  </si>
  <si>
    <t>214508.00</t>
  </si>
  <si>
    <t>MNSX</t>
  </si>
  <si>
    <t>MNSX US Equity</t>
  </si>
  <si>
    <t>535651.20</t>
  </si>
  <si>
    <t>280186.20</t>
  </si>
  <si>
    <t>255465.00</t>
  </si>
  <si>
    <t>MSIX</t>
  </si>
  <si>
    <t>MSIX US Equity</t>
  </si>
  <si>
    <t>557282.61</t>
  </si>
  <si>
    <t>292933.61</t>
  </si>
  <si>
    <t>264349.00</t>
  </si>
  <si>
    <t>NYNY</t>
  </si>
  <si>
    <t>NYNY US Equity</t>
  </si>
  <si>
    <t>1180160.73</t>
  </si>
  <si>
    <t>6799.23</t>
  </si>
  <si>
    <t>1173361.50</t>
  </si>
  <si>
    <t>1391559.50</t>
  </si>
  <si>
    <t>263369.00</t>
  </si>
  <si>
    <t>ODDZ</t>
  </si>
  <si>
    <t>ODDZ US Equity</t>
  </si>
  <si>
    <t>1169469.00</t>
  </si>
  <si>
    <t>1889217.00</t>
  </si>
  <si>
    <t>822912.00</t>
  </si>
  <si>
    <t>ONTX</t>
  </si>
  <si>
    <t>ONTX US Equity</t>
  </si>
  <si>
    <t>534174.44</t>
  </si>
  <si>
    <t>274038.44</t>
  </si>
  <si>
    <t>260136.00</t>
  </si>
  <si>
    <t>OWN</t>
  </si>
  <si>
    <t>OWN US Equity</t>
  </si>
  <si>
    <t>2448913.67</t>
  </si>
  <si>
    <t>84393.67</t>
  </si>
  <si>
    <t>2364520.00</t>
  </si>
  <si>
    <t>3383699.00</t>
  </si>
  <si>
    <t>947648.00</t>
  </si>
  <si>
    <t>PTNT</t>
  </si>
  <si>
    <t>PTNT US Equity</t>
  </si>
  <si>
    <t>1433861.00</t>
  </si>
  <si>
    <t>1397466.00</t>
  </si>
  <si>
    <t>QJN</t>
  </si>
  <si>
    <t>QJN US Equity</t>
  </si>
  <si>
    <t>1059854.97</t>
  </si>
  <si>
    <t>83522.97</t>
  </si>
  <si>
    <t>976332.00</t>
  </si>
  <si>
    <t>Nasdaq-100 Index</t>
  </si>
  <si>
    <t>NDX</t>
  </si>
  <si>
    <t>QMY</t>
  </si>
  <si>
    <t>QMY US Equity</t>
  </si>
  <si>
    <t>5136388.20</t>
  </si>
  <si>
    <t>402219.70</t>
  </si>
  <si>
    <t>4734168.50</t>
  </si>
  <si>
    <t>5181842.50</t>
  </si>
  <si>
    <t>131338.50</t>
  </si>
  <si>
    <t>657652.50</t>
  </si>
  <si>
    <t>QQJN</t>
  </si>
  <si>
    <t>QQJN US Equity</t>
  </si>
  <si>
    <t>1320451.68</t>
  </si>
  <si>
    <t>93811.68</t>
  </si>
  <si>
    <t>1226640.00</t>
  </si>
  <si>
    <t>1244876.00</t>
  </si>
  <si>
    <t>QQMY</t>
  </si>
  <si>
    <t>QQMY US Equity</t>
  </si>
  <si>
    <t>5962196.93</t>
  </si>
  <si>
    <t>587834.93</t>
  </si>
  <si>
    <t>5374362.00</t>
  </si>
  <si>
    <t>4402195.00</t>
  </si>
  <si>
    <t>514538.00</t>
  </si>
  <si>
    <t>651987.50</t>
  </si>
  <si>
    <t>RMBC</t>
  </si>
  <si>
    <t>RMBC US Equity</t>
  </si>
  <si>
    <t>497079.28</t>
  </si>
  <si>
    <t>261287.28</t>
  </si>
  <si>
    <t>235792.00</t>
  </si>
  <si>
    <t>SCJN</t>
  </si>
  <si>
    <t>SCJN US Equity</t>
  </si>
  <si>
    <t>1082986.52</t>
  </si>
  <si>
    <t>65666.52</t>
  </si>
  <si>
    <t>1017320.00</t>
  </si>
  <si>
    <t>Russell 2000 Index</t>
  </si>
  <si>
    <t>RTY</t>
  </si>
  <si>
    <t>SCMY</t>
  </si>
  <si>
    <t>SCMY US Equity</t>
  </si>
  <si>
    <t>5084725.39</t>
  </si>
  <si>
    <t>329022.89</t>
  </si>
  <si>
    <t>4755702.50</t>
  </si>
  <si>
    <t>5151994.00</t>
  </si>
  <si>
    <t>509398.00</t>
  </si>
  <si>
    <t>SIMX</t>
  </si>
  <si>
    <t>SIMX US Equity</t>
  </si>
  <si>
    <t>534472.42</t>
  </si>
  <si>
    <t>280229.42</t>
  </si>
  <si>
    <t>254243.00</t>
  </si>
  <si>
    <t>STYL</t>
  </si>
  <si>
    <t>STYL US Equity</t>
  </si>
  <si>
    <t>1196750.10</t>
  </si>
  <si>
    <t>8246.10</t>
  </si>
  <si>
    <t>1188504.00</t>
  </si>
  <si>
    <t>1414168.50</t>
  </si>
  <si>
    <t>258888.00</t>
  </si>
  <si>
    <t>TAJX</t>
  </si>
  <si>
    <t>TAJX US Equity</t>
  </si>
  <si>
    <t>1458965.04</t>
  </si>
  <si>
    <t>797585.04</t>
  </si>
  <si>
    <t>661380.00</t>
  </si>
  <si>
    <t>611272.00</t>
  </si>
  <si>
    <t>TPLX</t>
  </si>
  <si>
    <t>TPLX US Equity</t>
  </si>
  <si>
    <t>537465.29</t>
  </si>
  <si>
    <t>276929.29</t>
  </si>
  <si>
    <t>260536.00</t>
  </si>
  <si>
    <t>UMCX</t>
  </si>
  <si>
    <t>UMCX US Equity</t>
  </si>
  <si>
    <t>589030.81</t>
  </si>
  <si>
    <t>304655.81</t>
  </si>
  <si>
    <t>284375.00</t>
  </si>
  <si>
    <t>USX</t>
  </si>
  <si>
    <t>USX US Equity</t>
  </si>
  <si>
    <t>1122206.20</t>
  </si>
  <si>
    <t>653982.20</t>
  </si>
  <si>
    <t>468224.00</t>
  </si>
  <si>
    <t>485845.00</t>
  </si>
  <si>
    <t>VBX</t>
  </si>
  <si>
    <t>VBX US Equity</t>
  </si>
  <si>
    <t>1928991.99</t>
  </si>
  <si>
    <t>1051520.99</t>
  </si>
  <si>
    <t>877471.00</t>
  </si>
  <si>
    <t>874852.00</t>
  </si>
  <si>
    <t>VOOX</t>
  </si>
  <si>
    <t>VOOX US Equity</t>
  </si>
  <si>
    <t>1672831.61</t>
  </si>
  <si>
    <t>975667.61</t>
  </si>
  <si>
    <t>697164.00</t>
  </si>
  <si>
    <t>719642.00</t>
  </si>
  <si>
    <t>WATS</t>
  </si>
  <si>
    <t>WATS US Equity</t>
  </si>
  <si>
    <t>2066976.81</t>
  </si>
  <si>
    <t>104.81</t>
  </si>
  <si>
    <t>2066872.00</t>
  </si>
  <si>
    <t>1326920.00</t>
  </si>
  <si>
    <t>967200.00</t>
  </si>
  <si>
    <t>WEBX</t>
  </si>
  <si>
    <t>WEBX US Equity</t>
  </si>
  <si>
    <t>953041.65</t>
  </si>
  <si>
    <t>498579.15</t>
  </si>
  <si>
    <t>454462.50</t>
  </si>
  <si>
    <t>567329.50</t>
  </si>
  <si>
    <t>WNDR</t>
  </si>
  <si>
    <t>WNDR US Equity</t>
  </si>
  <si>
    <t>1554773.00</t>
  </si>
  <si>
    <t>1423514.00</t>
  </si>
  <si>
    <t>WR</t>
  </si>
  <si>
    <t>WR US Equity</t>
  </si>
  <si>
    <t>3221856.00</t>
  </si>
  <si>
    <t>3383425.00</t>
  </si>
  <si>
    <t>WX</t>
  </si>
  <si>
    <t>WX US Equity</t>
  </si>
  <si>
    <t>932777.90</t>
  </si>
  <si>
    <t>581708.90</t>
  </si>
  <si>
    <t>351069.00</t>
  </si>
  <si>
    <t>601372.00</t>
  </si>
  <si>
    <t>234321.00</t>
  </si>
  <si>
    <t>XA</t>
  </si>
  <si>
    <t>XA US Equity</t>
  </si>
  <si>
    <t>2627001.23</t>
  </si>
  <si>
    <t>561.23</t>
  </si>
  <si>
    <t>2626440.00</t>
  </si>
  <si>
    <t>2252314.00</t>
  </si>
  <si>
    <t>XAGI</t>
  </si>
  <si>
    <t>XAGI US Equity</t>
  </si>
  <si>
    <t>948582.10</t>
  </si>
  <si>
    <t>541510.10</t>
  </si>
  <si>
    <t>407072.00</t>
  </si>
  <si>
    <t>669752.00</t>
  </si>
  <si>
    <t>206822.00</t>
  </si>
  <si>
    <t>XBIX</t>
  </si>
  <si>
    <t>XBIX US Equity</t>
  </si>
  <si>
    <t>1084044.72</t>
  </si>
  <si>
    <t>575391.72</t>
  </si>
  <si>
    <t>508653.00</t>
  </si>
  <si>
    <t>644119.00</t>
  </si>
  <si>
    <t>327291.00</t>
  </si>
  <si>
    <t>XCOM</t>
  </si>
  <si>
    <t>XCOM US Equity</t>
  </si>
  <si>
    <t>888873.95</t>
  </si>
  <si>
    <t>508277.95</t>
  </si>
  <si>
    <t>380596.00</t>
  </si>
  <si>
    <t>728422.00</t>
  </si>
  <si>
    <t>200304.00</t>
  </si>
  <si>
    <t>XEUR</t>
  </si>
  <si>
    <t>XEUR US Equity</t>
  </si>
  <si>
    <t>1111595.91</t>
  </si>
  <si>
    <t>625317.91</t>
  </si>
  <si>
    <t>486278.00</t>
  </si>
  <si>
    <t>501574.00</t>
  </si>
  <si>
    <t>XHOA</t>
  </si>
  <si>
    <t>XHOA US Equity</t>
  </si>
  <si>
    <t>602661.34</t>
  </si>
  <si>
    <t>338792.34</t>
  </si>
  <si>
    <t>263869.00</t>
  </si>
  <si>
    <t>XIWC</t>
  </si>
  <si>
    <t>XIWC US Equity</t>
  </si>
  <si>
    <t>898200.33</t>
  </si>
  <si>
    <t>523494.33</t>
  </si>
  <si>
    <t>374706.00</t>
  </si>
  <si>
    <t>708478.00</t>
  </si>
  <si>
    <t>374892.00</t>
  </si>
  <si>
    <t>XKRE</t>
  </si>
  <si>
    <t>XKRE US Equity</t>
  </si>
  <si>
    <t>913390.78</t>
  </si>
  <si>
    <t>488377.78</t>
  </si>
  <si>
    <t>425013.00</t>
  </si>
  <si>
    <t>632485.00</t>
  </si>
  <si>
    <t>277003.00</t>
  </si>
  <si>
    <t>XLBX</t>
  </si>
  <si>
    <t>XLBX US Equity</t>
  </si>
  <si>
    <t>1800165.41</t>
  </si>
  <si>
    <t>939315.91</t>
  </si>
  <si>
    <t>860849.50</t>
  </si>
  <si>
    <t>854837.50</t>
  </si>
  <si>
    <t>XLEX</t>
  </si>
  <si>
    <t>XLEX US Equity</t>
  </si>
  <si>
    <t>690400.21</t>
  </si>
  <si>
    <t>369071.71</t>
  </si>
  <si>
    <t>321328.50</t>
  </si>
  <si>
    <t>616372.00</t>
  </si>
  <si>
    <t>221533.00</t>
  </si>
  <si>
    <t>XLFX</t>
  </si>
  <si>
    <t>XLFX US Equity</t>
  </si>
  <si>
    <t>1424040.16</t>
  </si>
  <si>
    <t>743702.66</t>
  </si>
  <si>
    <t>680337.50</t>
  </si>
  <si>
    <t>631349.50</t>
  </si>
  <si>
    <t>XLIX</t>
  </si>
  <si>
    <t>XLIX US Equity</t>
  </si>
  <si>
    <t>856490.22</t>
  </si>
  <si>
    <t>457125.72</t>
  </si>
  <si>
    <t>399364.50</t>
  </si>
  <si>
    <t>604258.00</t>
  </si>
  <si>
    <t>260304.00</t>
  </si>
  <si>
    <t>XLKX</t>
  </si>
  <si>
    <t>XLKX US Equity</t>
  </si>
  <si>
    <t>1438855.85</t>
  </si>
  <si>
    <t>809734.85</t>
  </si>
  <si>
    <t>629121.00</t>
  </si>
  <si>
    <t>672518.00</t>
  </si>
  <si>
    <t>XLPX</t>
  </si>
  <si>
    <t>XLPX US Equity</t>
  </si>
  <si>
    <t>1605117.06</t>
  </si>
  <si>
    <t>935339.56</t>
  </si>
  <si>
    <t>669777.50</t>
  </si>
  <si>
    <t>655739.50</t>
  </si>
  <si>
    <t>XLUX</t>
  </si>
  <si>
    <t>XLUX US Equity</t>
  </si>
  <si>
    <t>1283105.57</t>
  </si>
  <si>
    <t>741901.57</t>
  </si>
  <si>
    <t>541204.00</t>
  </si>
  <si>
    <t>511041.00</t>
  </si>
  <si>
    <t>XLVX</t>
  </si>
  <si>
    <t>XLVX US Equity</t>
  </si>
  <si>
    <t>1423090.27</t>
  </si>
  <si>
    <t>873932.27</t>
  </si>
  <si>
    <t>549158.00</t>
  </si>
  <si>
    <t>805428.00</t>
  </si>
  <si>
    <t>270494.00</t>
  </si>
  <si>
    <t>XLYX</t>
  </si>
  <si>
    <t>XLYX US Equity</t>
  </si>
  <si>
    <t>814113.26</t>
  </si>
  <si>
    <t>456748.76</t>
  </si>
  <si>
    <t>357364.50</t>
  </si>
  <si>
    <t>366456.00</t>
  </si>
  <si>
    <t>XPAV</t>
  </si>
  <si>
    <t>XPAV US Equity</t>
  </si>
  <si>
    <t>591463.59</t>
  </si>
  <si>
    <t>330445.59</t>
  </si>
  <si>
    <t>261018.00</t>
  </si>
  <si>
    <t>XSEM</t>
  </si>
  <si>
    <t>XSEM US Equity</t>
  </si>
  <si>
    <t>1313517.20</t>
  </si>
  <si>
    <t>736122.20</t>
  </si>
  <si>
    <t>577395.00</t>
  </si>
  <si>
    <t>591487.00</t>
  </si>
  <si>
    <t>XTAI</t>
  </si>
  <si>
    <t>XTAI US Equity</t>
  </si>
  <si>
    <t>1295722.62</t>
  </si>
  <si>
    <t>713547.62</t>
  </si>
  <si>
    <t>582175.00</t>
  </si>
  <si>
    <t>560497.00</t>
  </si>
  <si>
    <t>XVO</t>
  </si>
  <si>
    <t>XVO US Equity</t>
  </si>
  <si>
    <t>1140873.60</t>
  </si>
  <si>
    <t>641941.60</t>
  </si>
  <si>
    <t>498932.00</t>
  </si>
  <si>
    <t>493748.00</t>
  </si>
  <si>
    <t>XVUG</t>
  </si>
  <si>
    <t>XVUG US Equity</t>
  </si>
  <si>
    <t>865419.84</t>
  </si>
  <si>
    <t>543521.34</t>
  </si>
  <si>
    <t>321898.50</t>
  </si>
  <si>
    <t>592565.50</t>
  </si>
  <si>
    <t>215947.00</t>
  </si>
  <si>
    <t>XW</t>
  </si>
  <si>
    <t>XW US Equity</t>
  </si>
  <si>
    <t>518260.19</t>
  </si>
  <si>
    <t>283747.19</t>
  </si>
  <si>
    <t>234513.00</t>
  </si>
  <si>
    <t>YUNG</t>
  </si>
  <si>
    <t>YUNG US Equity</t>
  </si>
  <si>
    <t>1552050.50</t>
  </si>
  <si>
    <t>1403068.00</t>
  </si>
  <si>
    <t>cusip</t>
  </si>
  <si>
    <t>valUSD</t>
  </si>
  <si>
    <t>durAdj</t>
  </si>
  <si>
    <t>spreadDur</t>
  </si>
  <si>
    <t>maturity</t>
  </si>
  <si>
    <t>ratingSP</t>
  </si>
  <si>
    <t>912797RS8</t>
  </si>
  <si>
    <t>912797RS8 Govt</t>
  </si>
  <si>
    <t>1277822.08</t>
  </si>
  <si>
    <t>912797SA6</t>
  </si>
  <si>
    <t>912797SA6 Govt</t>
  </si>
  <si>
    <t>1258306.15</t>
  </si>
  <si>
    <t>912797SK4</t>
  </si>
  <si>
    <t>912797SK4 Govt</t>
  </si>
  <si>
    <t>1273056.89</t>
  </si>
  <si>
    <t>912797SU2</t>
  </si>
  <si>
    <t>912797SU2 Govt</t>
  </si>
  <si>
    <t>402361.05</t>
  </si>
  <si>
    <t>912797TC1</t>
  </si>
  <si>
    <t>912797TC1 Govt</t>
  </si>
  <si>
    <t>464869.97</t>
  </si>
  <si>
    <t>912797TM9</t>
  </si>
  <si>
    <t>912797TM9 Govt</t>
  </si>
  <si>
    <t>526393.40</t>
  </si>
  <si>
    <t>912797TV9</t>
  </si>
  <si>
    <t>912797TV9 Govt</t>
  </si>
  <si>
    <t>464238.03</t>
  </si>
  <si>
    <t>912797UD7</t>
  </si>
  <si>
    <t>912797UD7 Govt</t>
  </si>
  <si>
    <t>527019.33</t>
  </si>
  <si>
    <t>912797UE5</t>
  </si>
  <si>
    <t>912797UE5 Govt</t>
  </si>
  <si>
    <t>462287.99</t>
  </si>
  <si>
    <t>912797UF2</t>
  </si>
  <si>
    <t>912797UF2 Govt</t>
  </si>
  <si>
    <t>807592.92</t>
  </si>
  <si>
    <t>912797UG0</t>
  </si>
  <si>
    <t>912797UG0 Govt</t>
  </si>
  <si>
    <t>807992.36</t>
  </si>
  <si>
    <t>912797UH8</t>
  </si>
  <si>
    <t>912797UH8 Govt</t>
  </si>
  <si>
    <t>807392.94</t>
  </si>
  <si>
    <t>912797UJ4</t>
  </si>
  <si>
    <t>912797UJ4 Govt</t>
  </si>
  <si>
    <t>807248.74</t>
  </si>
  <si>
    <t>912797UK1</t>
  </si>
  <si>
    <t>912797UK1 Govt</t>
  </si>
  <si>
    <t>806599.32</t>
  </si>
  <si>
    <t>912797UL9</t>
  </si>
  <si>
    <t>912797UL9 Govt</t>
  </si>
  <si>
    <t>803970.33</t>
  </si>
  <si>
    <t>912797UM7</t>
  </si>
  <si>
    <t>912797UM7 Govt</t>
  </si>
  <si>
    <t>793834.01</t>
  </si>
  <si>
    <t>912797UW5</t>
  </si>
  <si>
    <t>912797UW5 Govt</t>
  </si>
  <si>
    <t>450891.64</t>
  </si>
  <si>
    <t>912797UX3</t>
  </si>
  <si>
    <t>912797UX3 Govt</t>
  </si>
  <si>
    <t>518937.69</t>
  </si>
  <si>
    <t>912797UY1</t>
  </si>
  <si>
    <t>912797UY1 Govt</t>
  </si>
  <si>
    <t>804084.13</t>
  </si>
  <si>
    <t>912797UZ8</t>
  </si>
  <si>
    <t>912797UZ8 Govt</t>
  </si>
  <si>
    <t>802539.67</t>
  </si>
  <si>
    <t>912797VB0</t>
  </si>
  <si>
    <t>912797VB0 Govt</t>
  </si>
  <si>
    <t>675800.28</t>
  </si>
  <si>
    <t>912797VC8</t>
  </si>
  <si>
    <t>912797VC8 Govt</t>
  </si>
  <si>
    <t>740809.94</t>
  </si>
  <si>
    <t>912797VD6</t>
  </si>
  <si>
    <t>912797VD6 Govt</t>
  </si>
  <si>
    <t>740259.36</t>
  </si>
  <si>
    <t>912797RF6</t>
  </si>
  <si>
    <t>912797RF6 Govt</t>
  </si>
  <si>
    <t>1134431.68</t>
  </si>
  <si>
    <t>912797RG4</t>
  </si>
  <si>
    <t>912797RG4 Govt</t>
  </si>
  <si>
    <t>834468.18</t>
  </si>
  <si>
    <t>578842.48</t>
  </si>
  <si>
    <t>912797TE7</t>
  </si>
  <si>
    <t>912797TE7 Govt</t>
  </si>
  <si>
    <t>975000.00</t>
  </si>
  <si>
    <t>912797TF4</t>
  </si>
  <si>
    <t>912797TF4 Govt</t>
  </si>
  <si>
    <t>1009310.68</t>
  </si>
  <si>
    <t>912797TN7</t>
  </si>
  <si>
    <t>912797TN7 Govt</t>
  </si>
  <si>
    <t>819305.35</t>
  </si>
  <si>
    <t>912797TP2</t>
  </si>
  <si>
    <t>912797TP2 Govt</t>
  </si>
  <si>
    <t>728982.20</t>
  </si>
  <si>
    <t>912797TQ0</t>
  </si>
  <si>
    <t>912797TQ0 Govt</t>
  </si>
  <si>
    <t>727459.19</t>
  </si>
  <si>
    <t>912797TW7</t>
  </si>
  <si>
    <t>912797TW7 Govt</t>
  </si>
  <si>
    <t>627888.02</t>
  </si>
  <si>
    <t>912797TX5</t>
  </si>
  <si>
    <t>912797TX5 Govt</t>
  </si>
  <si>
    <t>725880.77</t>
  </si>
  <si>
    <t>912797TY3</t>
  </si>
  <si>
    <t>912797TY3 Govt</t>
  </si>
  <si>
    <t>553427.54</t>
  </si>
  <si>
    <t>912797UC9</t>
  </si>
  <si>
    <t>912797UC9 Govt</t>
  </si>
  <si>
    <t>783618.07</t>
  </si>
  <si>
    <t>912797UN5</t>
  </si>
  <si>
    <t>912797UN5 Govt</t>
  </si>
  <si>
    <t>805048.25</t>
  </si>
  <si>
    <t>912797UP0</t>
  </si>
  <si>
    <t>912797UP0 Govt</t>
  </si>
  <si>
    <t>657767.90</t>
  </si>
  <si>
    <t>912797UQ8</t>
  </si>
  <si>
    <t>912797UQ8 Govt</t>
  </si>
  <si>
    <t>657305.64</t>
  </si>
  <si>
    <t>912797UR6</t>
  </si>
  <si>
    <t>912797UR6 Govt</t>
  </si>
  <si>
    <t>483411.17</t>
  </si>
  <si>
    <t>912797US4</t>
  </si>
  <si>
    <t>912797US4 Govt</t>
  </si>
  <si>
    <t>477077.97</t>
  </si>
  <si>
    <t>912797UT2</t>
  </si>
  <si>
    <t>912797UT2 Govt</t>
  </si>
  <si>
    <t>291609.51</t>
  </si>
  <si>
    <t>912797UU9</t>
  </si>
  <si>
    <t>912797UU9 Govt</t>
  </si>
  <si>
    <t>289407.87</t>
  </si>
  <si>
    <t>912797UV7</t>
  </si>
  <si>
    <t>912797UV7 Govt</t>
  </si>
  <si>
    <t>290203.96</t>
  </si>
  <si>
    <t>289007.64</t>
  </si>
  <si>
    <t>111144.83</t>
  </si>
  <si>
    <t>00081TAK4</t>
  </si>
  <si>
    <t>00081TAK4 Corp</t>
  </si>
  <si>
    <t>28695.06</t>
  </si>
  <si>
    <t>00109LAA1</t>
  </si>
  <si>
    <t>00109LAA1 Corp</t>
  </si>
  <si>
    <t>25896.69</t>
  </si>
  <si>
    <t>00253XAB7</t>
  </si>
  <si>
    <t>00253XAB7 Corp</t>
  </si>
  <si>
    <t>26027.77</t>
  </si>
  <si>
    <t>00489LAL7</t>
  </si>
  <si>
    <t>00489LAL7 Corp</t>
  </si>
  <si>
    <t>26032.22</t>
  </si>
  <si>
    <t>00653VAA9</t>
  </si>
  <si>
    <t>00653VAA9 Corp</t>
  </si>
  <si>
    <t>29075.54</t>
  </si>
  <si>
    <t>00751YAE6</t>
  </si>
  <si>
    <t>00751YAE6 Corp</t>
  </si>
  <si>
    <t>29947.62</t>
  </si>
  <si>
    <t>013092AG6</t>
  </si>
  <si>
    <t>013092AG6 Corp</t>
  </si>
  <si>
    <t>24728.64</t>
  </si>
  <si>
    <t>01330AAA4</t>
  </si>
  <si>
    <t>01330AAA4 Corp</t>
  </si>
  <si>
    <t>30040.46</t>
  </si>
  <si>
    <t>01883LAE3</t>
  </si>
  <si>
    <t>01883LAE3 Corp</t>
  </si>
  <si>
    <t>30241.27</t>
  </si>
  <si>
    <t>019576AD9</t>
  </si>
  <si>
    <t>019576AD9 Corp</t>
  </si>
  <si>
    <t>29219.01</t>
  </si>
  <si>
    <t>031921AC3</t>
  </si>
  <si>
    <t>031921AC3 Corp</t>
  </si>
  <si>
    <t>29246.82</t>
  </si>
  <si>
    <t>03772CAA1</t>
  </si>
  <si>
    <t>03772CAA1 Corp</t>
  </si>
  <si>
    <t>30219.66</t>
  </si>
  <si>
    <t>039853AA4</t>
  </si>
  <si>
    <t>039853AA4 Corp</t>
  </si>
  <si>
    <t>22312.07</t>
  </si>
  <si>
    <t>039959AA9</t>
  </si>
  <si>
    <t>039959AA9 Corp</t>
  </si>
  <si>
    <t>23568.05</t>
  </si>
  <si>
    <t>04288BAB6</t>
  </si>
  <si>
    <t>04288BAB6 Corp</t>
  </si>
  <si>
    <t>30253.84</t>
  </si>
  <si>
    <t>045086AP0</t>
  </si>
  <si>
    <t>045086AP0 Corp</t>
  </si>
  <si>
    <t>30435.52</t>
  </si>
  <si>
    <t>05352TAA7</t>
  </si>
  <si>
    <t>05352TAA7 Corp</t>
  </si>
  <si>
    <t>23758.28</t>
  </si>
  <si>
    <t>058498AW6</t>
  </si>
  <si>
    <t>058498AW6 Corp</t>
  </si>
  <si>
    <t>30057.23</t>
  </si>
  <si>
    <t>060335AB2</t>
  </si>
  <si>
    <t>060335AB2 Corp</t>
  </si>
  <si>
    <t>28749.78</t>
  </si>
  <si>
    <t>07831CAA1</t>
  </si>
  <si>
    <t>07831CAA1 Corp</t>
  </si>
  <si>
    <t>28913.61</t>
  </si>
  <si>
    <t>080782AA3</t>
  </si>
  <si>
    <t>080782AA3 Corp</t>
  </si>
  <si>
    <t>30195.48</t>
  </si>
  <si>
    <t>09216NAA8</t>
  </si>
  <si>
    <t>09216NAA8 Corp</t>
  </si>
  <si>
    <t>29441.12</t>
  </si>
  <si>
    <t>097751CA7</t>
  </si>
  <si>
    <t>097751CA7 Corp</t>
  </si>
  <si>
    <t>27551.13</t>
  </si>
  <si>
    <t>10637BAA3</t>
  </si>
  <si>
    <t>10637BAA3 Corp</t>
  </si>
  <si>
    <t>30637.43</t>
  </si>
  <si>
    <t>118230AU5</t>
  </si>
  <si>
    <t>118230AU5 Corp</t>
  </si>
  <si>
    <t>6934.73</t>
  </si>
  <si>
    <t>1248EPBX0</t>
  </si>
  <si>
    <t>1248EPBX0 Corp</t>
  </si>
  <si>
    <t>29578.61</t>
  </si>
  <si>
    <t>12543DBH2</t>
  </si>
  <si>
    <t>12543DBH2 Corp</t>
  </si>
  <si>
    <t>23804.76</t>
  </si>
  <si>
    <t>12662PAH1</t>
  </si>
  <si>
    <t>12662PAH1 Corp</t>
  </si>
  <si>
    <t>25930.47</t>
  </si>
  <si>
    <t>126650EH9</t>
  </si>
  <si>
    <t>126650EH9 Corp</t>
  </si>
  <si>
    <t>32167.34</t>
  </si>
  <si>
    <t>131477BA8</t>
  </si>
  <si>
    <t>131477BA8 Corp</t>
  </si>
  <si>
    <t>29606.86</t>
  </si>
  <si>
    <t>140944AA7</t>
  </si>
  <si>
    <t>140944AA7 Corp</t>
  </si>
  <si>
    <t>27716.94</t>
  </si>
  <si>
    <t>143658CB6</t>
  </si>
  <si>
    <t>143658CB6 Corp</t>
  </si>
  <si>
    <t>29929.03</t>
  </si>
  <si>
    <t>15089QAW4</t>
  </si>
  <si>
    <t>15089QAW4 Corp</t>
  </si>
  <si>
    <t>30177.98</t>
  </si>
  <si>
    <t>15135BAT8</t>
  </si>
  <si>
    <t>15135BAT8 Corp</t>
  </si>
  <si>
    <t>32024.98</t>
  </si>
  <si>
    <t>156686AM9</t>
  </si>
  <si>
    <t>156686AM9 Corp</t>
  </si>
  <si>
    <t>25223.88</t>
  </si>
  <si>
    <t>172441BF3</t>
  </si>
  <si>
    <t>172441BF3 Corp</t>
  </si>
  <si>
    <t>24956.34</t>
  </si>
  <si>
    <t>17302XAN6</t>
  </si>
  <si>
    <t>17302XAN6 Corp</t>
  </si>
  <si>
    <t>25752.18</t>
  </si>
  <si>
    <t>18064PAD1</t>
  </si>
  <si>
    <t>18064PAD1 Corp</t>
  </si>
  <si>
    <t>28078.88</t>
  </si>
  <si>
    <t>18453HAF3</t>
  </si>
  <si>
    <t>18453HAF3 Corp</t>
  </si>
  <si>
    <t>29343.66</t>
  </si>
  <si>
    <t>185899AN1</t>
  </si>
  <si>
    <t>185899AN1 Corp</t>
  </si>
  <si>
    <t>34838.55</t>
  </si>
  <si>
    <t>18912UAA0</t>
  </si>
  <si>
    <t>18912UAA0 Corp</t>
  </si>
  <si>
    <t>29258.40</t>
  </si>
  <si>
    <t>18972EAB1</t>
  </si>
  <si>
    <t>18972EAB1 Corp</t>
  </si>
  <si>
    <t>30479.72</t>
  </si>
  <si>
    <t>20752TAB0</t>
  </si>
  <si>
    <t>20752TAB0 Corp</t>
  </si>
  <si>
    <t>28457.01</t>
  </si>
  <si>
    <t>20753PAD3</t>
  </si>
  <si>
    <t>20753PAD3 Corp</t>
  </si>
  <si>
    <t>31977.47</t>
  </si>
  <si>
    <t>20848VAB1</t>
  </si>
  <si>
    <t>20848VAB1 Corp</t>
  </si>
  <si>
    <t>28944.67</t>
  </si>
  <si>
    <t>21873SAB4</t>
  </si>
  <si>
    <t>21873SAB4 Corp</t>
  </si>
  <si>
    <t>24390.65</t>
  </si>
  <si>
    <t>21874LAA0</t>
  </si>
  <si>
    <t>21874LAA0 Corp</t>
  </si>
  <si>
    <t>30536.07</t>
  </si>
  <si>
    <t>227046AA7</t>
  </si>
  <si>
    <t>227046AA7 Corp</t>
  </si>
  <si>
    <t>30073.76</t>
  </si>
  <si>
    <t>23292NAA6</t>
  </si>
  <si>
    <t>23292NAA6 Corp</t>
  </si>
  <si>
    <t>24030.04</t>
  </si>
  <si>
    <t>23918KAS7</t>
  </si>
  <si>
    <t>23918KAS7 Corp</t>
  </si>
  <si>
    <t>25162.68</t>
  </si>
  <si>
    <t>254032AD7</t>
  </si>
  <si>
    <t>254032AD7 Corp</t>
  </si>
  <si>
    <t>29080.00</t>
  </si>
  <si>
    <t>25461LAD4</t>
  </si>
  <si>
    <t>25461LAD4 Corp</t>
  </si>
  <si>
    <t>24859.27</t>
  </si>
  <si>
    <t>25470MAG4</t>
  </si>
  <si>
    <t>25470MAG4 Corp</t>
  </si>
  <si>
    <t>23656.85</t>
  </si>
  <si>
    <t>257867BJ9</t>
  </si>
  <si>
    <t>257867BJ9 Corp</t>
  </si>
  <si>
    <t>25907.38</t>
  </si>
  <si>
    <t>28414HAG8</t>
  </si>
  <si>
    <t>28414HAG8 Corp</t>
  </si>
  <si>
    <t>25738.63</t>
  </si>
  <si>
    <t>29089QAC9</t>
  </si>
  <si>
    <t>29089QAC9 Corp</t>
  </si>
  <si>
    <t>34416.29</t>
  </si>
  <si>
    <t>29103CAA6</t>
  </si>
  <si>
    <t>29103CAA6 Corp</t>
  </si>
  <si>
    <t>29516.20</t>
  </si>
  <si>
    <t>29163VAG8</t>
  </si>
  <si>
    <t>29163VAG8 Corp</t>
  </si>
  <si>
    <t>28785.76</t>
  </si>
  <si>
    <t>292052AF4</t>
  </si>
  <si>
    <t>292052AF4 Corp</t>
  </si>
  <si>
    <t>29045.62</t>
  </si>
  <si>
    <t>292554AS1</t>
  </si>
  <si>
    <t>292554AS1 Corp</t>
  </si>
  <si>
    <t>29297.57</t>
  </si>
  <si>
    <t>29605JAA4</t>
  </si>
  <si>
    <t>29605JAA4 Corp</t>
  </si>
  <si>
    <t>30531.69</t>
  </si>
  <si>
    <t>29882DAC7</t>
  </si>
  <si>
    <t>29882DAC7 Corp</t>
  </si>
  <si>
    <t>28867.92</t>
  </si>
  <si>
    <t>302635AN7</t>
  </si>
  <si>
    <t>302635AN7 Corp</t>
  </si>
  <si>
    <t>26038.98</t>
  </si>
  <si>
    <t>315292AU6</t>
  </si>
  <si>
    <t>315292AU6 Corp</t>
  </si>
  <si>
    <t>27445.86</t>
  </si>
  <si>
    <t>34960PAF8</t>
  </si>
  <si>
    <t>34960PAF8 Corp</t>
  </si>
  <si>
    <t>28996.52</t>
  </si>
  <si>
    <t>35641AAB4</t>
  </si>
  <si>
    <t>35641AAB4 Corp</t>
  </si>
  <si>
    <t>30028.80</t>
  </si>
  <si>
    <t>359694AB2</t>
  </si>
  <si>
    <t>359694AB2 Corp</t>
  </si>
  <si>
    <t>28808.07</t>
  </si>
  <si>
    <t>36168QAQ7</t>
  </si>
  <si>
    <t>36168QAQ7 Corp</t>
  </si>
  <si>
    <t>28866.75</t>
  </si>
  <si>
    <t>37185LAP7</t>
  </si>
  <si>
    <t>37185LAP7 Corp</t>
  </si>
  <si>
    <t>30011.14</t>
  </si>
  <si>
    <t>38016LAA3</t>
  </si>
  <si>
    <t>38016LAA3 Corp</t>
  </si>
  <si>
    <t>24997.73</t>
  </si>
  <si>
    <t>382550BN0</t>
  </si>
  <si>
    <t>382550BN0 Corp</t>
  </si>
  <si>
    <t>22932.79</t>
  </si>
  <si>
    <t>38869AAB3</t>
  </si>
  <si>
    <t>38869AAB3 Corp</t>
  </si>
  <si>
    <t>30132.22</t>
  </si>
  <si>
    <t>39807UAD8</t>
  </si>
  <si>
    <t>39807UAD8 Corp</t>
  </si>
  <si>
    <t>29194.28</t>
  </si>
  <si>
    <t>398905AN9</t>
  </si>
  <si>
    <t>398905AN9 Corp</t>
  </si>
  <si>
    <t>30156.25</t>
  </si>
  <si>
    <t>402635AT3</t>
  </si>
  <si>
    <t>402635AT3 Corp</t>
  </si>
  <si>
    <t>25457.10</t>
  </si>
  <si>
    <t>415858AC3</t>
  </si>
  <si>
    <t>415858AC3 Corp</t>
  </si>
  <si>
    <t>28637.98</t>
  </si>
  <si>
    <t>42704LAE4</t>
  </si>
  <si>
    <t>42704LAE4 Corp</t>
  </si>
  <si>
    <t>26584.87</t>
  </si>
  <si>
    <t>43118DAB6</t>
  </si>
  <si>
    <t>43118DAB6 Corp</t>
  </si>
  <si>
    <t>28106.38</t>
  </si>
  <si>
    <t>431318AU8</t>
  </si>
  <si>
    <t>431318AU8 Corp</t>
  </si>
  <si>
    <t>28835.15</t>
  </si>
  <si>
    <t>44287GAA4</t>
  </si>
  <si>
    <t>44287GAA4 Corp</t>
  </si>
  <si>
    <t>29354.84</t>
  </si>
  <si>
    <t>44332PAH4</t>
  </si>
  <si>
    <t>44332PAH4 Corp</t>
  </si>
  <si>
    <t>26706.84</t>
  </si>
  <si>
    <t>44701QBE1</t>
  </si>
  <si>
    <t>44701QBE1 Corp</t>
  </si>
  <si>
    <t>25578.32</t>
  </si>
  <si>
    <t>449691AC8</t>
  </si>
  <si>
    <t>449691AC8 Corp</t>
  </si>
  <si>
    <t>29163.36</t>
  </si>
  <si>
    <t>45074JAA2</t>
  </si>
  <si>
    <t>45074JAA2 Corp</t>
  </si>
  <si>
    <t>29742.03</t>
  </si>
  <si>
    <t>45174HBJ5</t>
  </si>
  <si>
    <t>45174HBJ5 Corp</t>
  </si>
  <si>
    <t>29124.90</t>
  </si>
  <si>
    <t>45258LAA5</t>
  </si>
  <si>
    <t>45258LAA5 Corp</t>
  </si>
  <si>
    <t>30399.50</t>
  </si>
  <si>
    <t>46284VAF8</t>
  </si>
  <si>
    <t>46284VAF8 Corp</t>
  </si>
  <si>
    <t>29357.94</t>
  </si>
  <si>
    <t>469815AK0</t>
  </si>
  <si>
    <t>469815AK0 Corp</t>
  </si>
  <si>
    <t>24563.81</t>
  </si>
  <si>
    <t>47077WAC2</t>
  </si>
  <si>
    <t>47077WAC2 Corp</t>
  </si>
  <si>
    <t>29972.78</t>
  </si>
  <si>
    <t>472481AC4</t>
  </si>
  <si>
    <t>472481AC4 Corp</t>
  </si>
  <si>
    <t>30565.62</t>
  </si>
  <si>
    <t>48020RAB1</t>
  </si>
  <si>
    <t>48020RAB1 Corp</t>
  </si>
  <si>
    <t>23540.52</t>
  </si>
  <si>
    <t>48250NAC9</t>
  </si>
  <si>
    <t>48250NAC9 Corp</t>
  </si>
  <si>
    <t>24975.69</t>
  </si>
  <si>
    <t>49461MAB6</t>
  </si>
  <si>
    <t>49461MAB6 Corp</t>
  </si>
  <si>
    <t>26457.37</t>
  </si>
  <si>
    <t>50067PAA7</t>
  </si>
  <si>
    <t>50067PAA7 Corp</t>
  </si>
  <si>
    <t>29923.32</t>
  </si>
  <si>
    <t>501797AN4</t>
  </si>
  <si>
    <t>501797AN4 Corp</t>
  </si>
  <si>
    <t>28964.16</t>
  </si>
  <si>
    <t>502160AN4</t>
  </si>
  <si>
    <t>502160AN4 Corp</t>
  </si>
  <si>
    <t>28967.83</t>
  </si>
  <si>
    <t>513075BZ3</t>
  </si>
  <si>
    <t>513075BZ3 Corp</t>
  </si>
  <si>
    <t>28886.83</t>
  </si>
  <si>
    <t>536797AJ2</t>
  </si>
  <si>
    <t>536797AJ2 Corp</t>
  </si>
  <si>
    <t>28624.49</t>
  </si>
  <si>
    <t>538034AV1</t>
  </si>
  <si>
    <t>538034AV1 Corp</t>
  </si>
  <si>
    <t>25002.86</t>
  </si>
  <si>
    <t>552953CF6</t>
  </si>
  <si>
    <t>552953CF6 Corp</t>
  </si>
  <si>
    <t>27045.93</t>
  </si>
  <si>
    <t>55342UAH7</t>
  </si>
  <si>
    <t>55342UAH7 Corp</t>
  </si>
  <si>
    <t>29059.95</t>
  </si>
  <si>
    <t>56085RAA8</t>
  </si>
  <si>
    <t>56085RAA8 Corp</t>
  </si>
  <si>
    <t>30308.93</t>
  </si>
  <si>
    <t>57665RAJ5</t>
  </si>
  <si>
    <t>57665RAJ5 Corp</t>
  </si>
  <si>
    <t>29906.59</t>
  </si>
  <si>
    <t>57763RAF4</t>
  </si>
  <si>
    <t>57763RAF4 Corp</t>
  </si>
  <si>
    <t>25584.50</t>
  </si>
  <si>
    <t>57779EAA6</t>
  </si>
  <si>
    <t>57779EAA6 Corp</t>
  </si>
  <si>
    <t>28097.93</t>
  </si>
  <si>
    <t>579063AB4</t>
  </si>
  <si>
    <t>579063AB4 Corp</t>
  </si>
  <si>
    <t>28926.72</t>
  </si>
  <si>
    <t>58502BAE6</t>
  </si>
  <si>
    <t>58502BAE6 Corp</t>
  </si>
  <si>
    <t>29665.05</t>
  </si>
  <si>
    <t>58990CAA1</t>
  </si>
  <si>
    <t>58990CAA1 Corp</t>
  </si>
  <si>
    <t>30138.34</t>
  </si>
  <si>
    <t>601137AA0</t>
  </si>
  <si>
    <t>601137AA0 Corp</t>
  </si>
  <si>
    <t>29387.24</t>
  </si>
  <si>
    <t>603051AF0</t>
  </si>
  <si>
    <t>603051AF0 Corp</t>
  </si>
  <si>
    <t>30075.11</t>
  </si>
  <si>
    <t>60337JAA4</t>
  </si>
  <si>
    <t>60337JAA4 Corp</t>
  </si>
  <si>
    <t>24984.74</t>
  </si>
  <si>
    <t>60832QAA8</t>
  </si>
  <si>
    <t>60832QAA8 Corp</t>
  </si>
  <si>
    <t>29183.74</t>
  </si>
  <si>
    <t>60855RAJ9</t>
  </si>
  <si>
    <t>60855RAJ9 Corp</t>
  </si>
  <si>
    <t>29513.83</t>
  </si>
  <si>
    <t>62482BAB8</t>
  </si>
  <si>
    <t>62482BAB8 Corp</t>
  </si>
  <si>
    <t>26815.43</t>
  </si>
  <si>
    <t>626738AE8</t>
  </si>
  <si>
    <t>626738AE8 Corp</t>
  </si>
  <si>
    <t>33506.71</t>
  </si>
  <si>
    <t>62844JAE8</t>
  </si>
  <si>
    <t>62844JAE8 Corp</t>
  </si>
  <si>
    <t>24603.53</t>
  </si>
  <si>
    <t>62886HBY6</t>
  </si>
  <si>
    <t>62886HBY6 Corp</t>
  </si>
  <si>
    <t>30143.89</t>
  </si>
  <si>
    <t>629377CH3</t>
  </si>
  <si>
    <t>629377CH3 Corp</t>
  </si>
  <si>
    <t>28864.13</t>
  </si>
  <si>
    <t>63938CAM0</t>
  </si>
  <si>
    <t>63938CAM0 Corp</t>
  </si>
  <si>
    <t>23923.96</t>
  </si>
  <si>
    <t>640695AC6</t>
  </si>
  <si>
    <t>640695AC6 Corp</t>
  </si>
  <si>
    <t>32232.41</t>
  </si>
  <si>
    <t>645370AG2</t>
  </si>
  <si>
    <t>645370AG2 Corp</t>
  </si>
  <si>
    <t>30455.70</t>
  </si>
  <si>
    <t>651229BG0</t>
  </si>
  <si>
    <t>651229BG0 Corp</t>
  </si>
  <si>
    <t>21983.22</t>
  </si>
  <si>
    <t>65336YAN3</t>
  </si>
  <si>
    <t>65336YAN3 Corp</t>
  </si>
  <si>
    <t>30361.56</t>
  </si>
  <si>
    <t>65342QAM4</t>
  </si>
  <si>
    <t>65342QAM4 Corp</t>
  </si>
  <si>
    <t>30043.80</t>
  </si>
  <si>
    <t>654744AC5</t>
  </si>
  <si>
    <t>654744AC5 Corp</t>
  </si>
  <si>
    <t>31545.66</t>
  </si>
  <si>
    <t>668771AK4</t>
  </si>
  <si>
    <t>668771AK4 Corp</t>
  </si>
  <si>
    <t>29187.11</t>
  </si>
  <si>
    <t>670001AE6</t>
  </si>
  <si>
    <t>670001AE6 Corp</t>
  </si>
  <si>
    <t>26093.92</t>
  </si>
  <si>
    <t>674215AQ1</t>
  </si>
  <si>
    <t>674215AQ1 Corp</t>
  </si>
  <si>
    <t>23972.08</t>
  </si>
  <si>
    <t>67740QAH9</t>
  </si>
  <si>
    <t>67740QAH9 Corp</t>
  </si>
  <si>
    <t>28997.01</t>
  </si>
  <si>
    <t>68245XAM1</t>
  </si>
  <si>
    <t>68245XAM1 Corp</t>
  </si>
  <si>
    <t>23628.61</t>
  </si>
  <si>
    <t>683720AA4</t>
  </si>
  <si>
    <t>683720AA4 Corp</t>
  </si>
  <si>
    <t>34728.07</t>
  </si>
  <si>
    <t>69331CAH1</t>
  </si>
  <si>
    <t>69331CAH1 Corp</t>
  </si>
  <si>
    <t>29856.38</t>
  </si>
  <si>
    <t>69354NAE6</t>
  </si>
  <si>
    <t>69354NAE6 Corp</t>
  </si>
  <si>
    <t>28451.22</t>
  </si>
  <si>
    <t>69393LAA1</t>
  </si>
  <si>
    <t>69393LAA1 Corp</t>
  </si>
  <si>
    <t>31033.75</t>
  </si>
  <si>
    <t>70082LAC1</t>
  </si>
  <si>
    <t>70082LAC1 Corp</t>
  </si>
  <si>
    <t>27140.72</t>
  </si>
  <si>
    <t>703343AD5</t>
  </si>
  <si>
    <t>703343AD5 Corp</t>
  </si>
  <si>
    <t>29486.70</t>
  </si>
  <si>
    <t>70452AAA1</t>
  </si>
  <si>
    <t>70452AAA1 Corp</t>
  </si>
  <si>
    <t>28765.88</t>
  </si>
  <si>
    <t>707569AY5</t>
  </si>
  <si>
    <t>707569AY5 Corp</t>
  </si>
  <si>
    <t>29067.43</t>
  </si>
  <si>
    <t>72815LAA5</t>
  </si>
  <si>
    <t>72815LAA5 Corp</t>
  </si>
  <si>
    <t>33932.67</t>
  </si>
  <si>
    <t>740212AM7</t>
  </si>
  <si>
    <t>740212AM7 Corp</t>
  </si>
  <si>
    <t>28156.49</t>
  </si>
  <si>
    <t>74112BAM7</t>
  </si>
  <si>
    <t>74112BAM7 Corp</t>
  </si>
  <si>
    <t>30286.18</t>
  </si>
  <si>
    <t>74165HAC2</t>
  </si>
  <si>
    <t>74165HAC2 Corp</t>
  </si>
  <si>
    <t>30372.40</t>
  </si>
  <si>
    <t>74841CAB7</t>
  </si>
  <si>
    <t>74841CAB7 Corp</t>
  </si>
  <si>
    <t>29810.99</t>
  </si>
  <si>
    <t>75102WAK4</t>
  </si>
  <si>
    <t>75102WAK4 Corp</t>
  </si>
  <si>
    <t>26112.99</t>
  </si>
  <si>
    <t>753272AA1</t>
  </si>
  <si>
    <t>753272AA1 Corp</t>
  </si>
  <si>
    <t>28955.81</t>
  </si>
  <si>
    <t>775109DG3</t>
  </si>
  <si>
    <t>775109DG3 Corp</t>
  </si>
  <si>
    <t>29689.39</t>
  </si>
  <si>
    <t>78410GAD6</t>
  </si>
  <si>
    <t>78410GAD6 Corp</t>
  </si>
  <si>
    <t>23836.79</t>
  </si>
  <si>
    <t>78412FAX2</t>
  </si>
  <si>
    <t>78412FAX2 Corp</t>
  </si>
  <si>
    <t>29710.79</t>
  </si>
  <si>
    <t>78454LAP5</t>
  </si>
  <si>
    <t>78454LAP5 Corp</t>
  </si>
  <si>
    <t>25050.35</t>
  </si>
  <si>
    <t>78488XAA2</t>
  </si>
  <si>
    <t>78488XAA2 Corp</t>
  </si>
  <si>
    <t>25754.87</t>
  </si>
  <si>
    <t>78573XAA8</t>
  </si>
  <si>
    <t>78573XAA8 Corp</t>
  </si>
  <si>
    <t>34642.15</t>
  </si>
  <si>
    <t>808625AA5</t>
  </si>
  <si>
    <t>808625AA5 Corp</t>
  </si>
  <si>
    <t>29876.03</t>
  </si>
  <si>
    <t>80874YBE9</t>
  </si>
  <si>
    <t>80874YBE9 Corp</t>
  </si>
  <si>
    <t>29577.83</t>
  </si>
  <si>
    <t>81721MAM1</t>
  </si>
  <si>
    <t>81721MAM1 Corp</t>
  </si>
  <si>
    <t>29336.51</t>
  </si>
  <si>
    <t>81761LAF9</t>
  </si>
  <si>
    <t>81761LAF9 Corp</t>
  </si>
  <si>
    <t>21402.05</t>
  </si>
  <si>
    <t>82967NBA5</t>
  </si>
  <si>
    <t>82967NBA5 Corp</t>
  </si>
  <si>
    <t>24925.46</t>
  </si>
  <si>
    <t>83001AAD4</t>
  </si>
  <si>
    <t>83001AAD4 Corp</t>
  </si>
  <si>
    <t>25058.30</t>
  </si>
  <si>
    <t>83419YAA4</t>
  </si>
  <si>
    <t>83419YAA4 Corp</t>
  </si>
  <si>
    <t>28295.01</t>
  </si>
  <si>
    <t>835898AJ6</t>
  </si>
  <si>
    <t>835898AJ6 Corp</t>
  </si>
  <si>
    <t>29429.28</t>
  </si>
  <si>
    <t>84779MAA2</t>
  </si>
  <si>
    <t>84779MAA2 Corp</t>
  </si>
  <si>
    <t>30767.85</t>
  </si>
  <si>
    <t>85172FAR0</t>
  </si>
  <si>
    <t>85172FAR0 Corp</t>
  </si>
  <si>
    <t>24514.80</t>
  </si>
  <si>
    <t>852234AT0</t>
  </si>
  <si>
    <t>852234AT0 Corp</t>
  </si>
  <si>
    <t>85236FAA1</t>
  </si>
  <si>
    <t>85236FAA1 Corp</t>
  </si>
  <si>
    <t>29052.91</t>
  </si>
  <si>
    <t>853496AG2</t>
  </si>
  <si>
    <t>853496AG2 Corp</t>
  </si>
  <si>
    <t>23697.76</t>
  </si>
  <si>
    <t>85571BBB0</t>
  </si>
  <si>
    <t>85571BBB0 Corp</t>
  </si>
  <si>
    <t>22799.22</t>
  </si>
  <si>
    <t>86177CAA7</t>
  </si>
  <si>
    <t>86177CAA7 Corp</t>
  </si>
  <si>
    <t>24035.83</t>
  </si>
  <si>
    <t>86184WAA4</t>
  </si>
  <si>
    <t>86184WAA4 Corp</t>
  </si>
  <si>
    <t>29540.88</t>
  </si>
  <si>
    <t>861896AA6</t>
  </si>
  <si>
    <t>861896AA6 Corp</t>
  </si>
  <si>
    <t>27257.26</t>
  </si>
  <si>
    <t>86614JAA3</t>
  </si>
  <si>
    <t>86614JAA3 Corp</t>
  </si>
  <si>
    <t>29198.20</t>
  </si>
  <si>
    <t>86765KAA7</t>
  </si>
  <si>
    <t>86765KAA7 Corp</t>
  </si>
  <si>
    <t>28585.14</t>
  </si>
  <si>
    <t>87165BAP8</t>
  </si>
  <si>
    <t>87165BAP8 Corp</t>
  </si>
  <si>
    <t>25016.12</t>
  </si>
  <si>
    <t>87256YAG8</t>
  </si>
  <si>
    <t>87256YAG8 Corp</t>
  </si>
  <si>
    <t>28522.37</t>
  </si>
  <si>
    <t>87265HAF6</t>
  </si>
  <si>
    <t>87265HAF6 Corp</t>
  </si>
  <si>
    <t>25010.17</t>
  </si>
  <si>
    <t>87422VAQ1</t>
  </si>
  <si>
    <t>87422VAQ1 Corp</t>
  </si>
  <si>
    <t>29951.76</t>
  </si>
  <si>
    <t>88023UAH4</t>
  </si>
  <si>
    <t>88023UAH4 Corp</t>
  </si>
  <si>
    <t>29844.80</t>
  </si>
  <si>
    <t>88033GDK3</t>
  </si>
  <si>
    <t>88033GDK3 Corp</t>
  </si>
  <si>
    <t>26113.16</t>
  </si>
  <si>
    <t>880349AU9</t>
  </si>
  <si>
    <t>880349AU9 Corp</t>
  </si>
  <si>
    <t>30131.55</t>
  </si>
  <si>
    <t>88642RAE9</t>
  </si>
  <si>
    <t>88642RAE9 Corp</t>
  </si>
  <si>
    <t>28976.45</t>
  </si>
  <si>
    <t>893647BU0</t>
  </si>
  <si>
    <t>893647BU0 Corp</t>
  </si>
  <si>
    <t>26434.64</t>
  </si>
  <si>
    <t>893830BY4</t>
  </si>
  <si>
    <t>893830BY4 Corp</t>
  </si>
  <si>
    <t>29949.14</t>
  </si>
  <si>
    <t>902104AC2</t>
  </si>
  <si>
    <t>902104AC2 Corp</t>
  </si>
  <si>
    <t>29581.68</t>
  </si>
  <si>
    <t>90279XAA0</t>
  </si>
  <si>
    <t>90279XAA0 Corp</t>
  </si>
  <si>
    <t>23300.12</t>
  </si>
  <si>
    <t>910047AM1</t>
  </si>
  <si>
    <t>910047AM1 Corp</t>
  </si>
  <si>
    <t>28773.72</t>
  </si>
  <si>
    <t>914906AX0</t>
  </si>
  <si>
    <t>914906AX0 Corp</t>
  </si>
  <si>
    <t>28038.25</t>
  </si>
  <si>
    <t>918204BC1</t>
  </si>
  <si>
    <t>918204BC1 Corp</t>
  </si>
  <si>
    <t>29201.47</t>
  </si>
  <si>
    <t>91911XAW4</t>
  </si>
  <si>
    <t>91911XAW4 Corp</t>
  </si>
  <si>
    <t>25987.65</t>
  </si>
  <si>
    <t>922966AE6</t>
  </si>
  <si>
    <t>922966AE6 Corp</t>
  </si>
  <si>
    <t>29685.27</t>
  </si>
  <si>
    <t>92769VAJ8</t>
  </si>
  <si>
    <t>92769VAJ8 Corp</t>
  </si>
  <si>
    <t>28410.65</t>
  </si>
  <si>
    <t>92840JAB5</t>
  </si>
  <si>
    <t>92840JAB5 Corp</t>
  </si>
  <si>
    <t>30477.12</t>
  </si>
  <si>
    <t>92874BAA3</t>
  </si>
  <si>
    <t>92874BAA3 Corp</t>
  </si>
  <si>
    <t>30081.21</t>
  </si>
  <si>
    <t>982911AA7</t>
  </si>
  <si>
    <t>982911AA7 Corp</t>
  </si>
  <si>
    <t>24217.46</t>
  </si>
  <si>
    <t>983133AC3</t>
  </si>
  <si>
    <t>983133AC3 Corp</t>
  </si>
  <si>
    <t>28604.15</t>
  </si>
  <si>
    <t>912810FM5</t>
  </si>
  <si>
    <t>912810FM5 Govt</t>
  </si>
  <si>
    <t>2148.59</t>
  </si>
  <si>
    <t>912810FP8</t>
  </si>
  <si>
    <t>912810FP8 Govt</t>
  </si>
  <si>
    <t>5256.25</t>
  </si>
  <si>
    <t>912828YB0</t>
  </si>
  <si>
    <t>912828YB0 Govt</t>
  </si>
  <si>
    <t>19461.50</t>
  </si>
  <si>
    <t>912828YS3</t>
  </si>
  <si>
    <t>912828YS3 Govt</t>
  </si>
  <si>
    <t>14800.62</t>
  </si>
  <si>
    <t>912828Z94</t>
  </si>
  <si>
    <t>912828Z94 Govt</t>
  </si>
  <si>
    <t>24600.59</t>
  </si>
  <si>
    <t>912828ZQ6</t>
  </si>
  <si>
    <t>912828ZQ6 Govt</t>
  </si>
  <si>
    <t>31462.73</t>
  </si>
  <si>
    <t>91282CAE1</t>
  </si>
  <si>
    <t>91282CAE1 Govt</t>
  </si>
  <si>
    <t>41587.50</t>
  </si>
  <si>
    <t>91282CAV3</t>
  </si>
  <si>
    <t>91282CAV3 Govt</t>
  </si>
  <si>
    <t>43445.31</t>
  </si>
  <si>
    <t>91282CBL4</t>
  </si>
  <si>
    <t>91282CBL4 Govt</t>
  </si>
  <si>
    <t>41900.63</t>
  </si>
  <si>
    <t>91282CCB5</t>
  </si>
  <si>
    <t>91282CCB5 Govt</t>
  </si>
  <si>
    <t>42606.56</t>
  </si>
  <si>
    <t>91282CCS8</t>
  </si>
  <si>
    <t>91282CCS8 Govt</t>
  </si>
  <si>
    <t>44964.77</t>
  </si>
  <si>
    <t>91282CDJ7</t>
  </si>
  <si>
    <t>91282CDJ7 Govt</t>
  </si>
  <si>
    <t>43216.80</t>
  </si>
  <si>
    <t>91282CDY4</t>
  </si>
  <si>
    <t>91282CDY4 Govt</t>
  </si>
  <si>
    <t>42384.37</t>
  </si>
  <si>
    <t>91282CEP2</t>
  </si>
  <si>
    <t>91282CEP2 Govt</t>
  </si>
  <si>
    <t>37184.38</t>
  </si>
  <si>
    <t>91282CES6</t>
  </si>
  <si>
    <t>91282CES6 Govt</t>
  </si>
  <si>
    <t>17310.59</t>
  </si>
  <si>
    <t>91282CEV9</t>
  </si>
  <si>
    <t>91282CEV9 Govt</t>
  </si>
  <si>
    <t>17544.73</t>
  </si>
  <si>
    <t>91282CFC0</t>
  </si>
  <si>
    <t>91282CFC0 Govt</t>
  </si>
  <si>
    <t>15296.25</t>
  </si>
  <si>
    <t>91282CFF3</t>
  </si>
  <si>
    <t>91282CFF3 Govt</t>
  </si>
  <si>
    <t>42302.03</t>
  </si>
  <si>
    <t>91282CFJ5</t>
  </si>
  <si>
    <t>91282CFJ5 Govt</t>
  </si>
  <si>
    <t>15511.88</t>
  </si>
  <si>
    <t>91282CFL0</t>
  </si>
  <si>
    <t>91282CFL0 Govt</t>
  </si>
  <si>
    <t>15863.75</t>
  </si>
  <si>
    <t>91282CFT3</t>
  </si>
  <si>
    <t>91282CFT3 Govt</t>
  </si>
  <si>
    <t>15919.38</t>
  </si>
  <si>
    <t>91282CFV8</t>
  </si>
  <si>
    <t>91282CFV8 Govt</t>
  </si>
  <si>
    <t>45663.98</t>
  </si>
  <si>
    <t>91282CFY2</t>
  </si>
  <si>
    <t>91282CFY2 Govt</t>
  </si>
  <si>
    <t>15855.00</t>
  </si>
  <si>
    <t>91282CGB1</t>
  </si>
  <si>
    <t>91282CGB1 Govt</t>
  </si>
  <si>
    <t>15851.25</t>
  </si>
  <si>
    <t>91282CGJ4</t>
  </si>
  <si>
    <t>91282CGJ4 Govt</t>
  </si>
  <si>
    <t>15648.75</t>
  </si>
  <si>
    <t>91282CGM7</t>
  </si>
  <si>
    <t>91282CGM7 Govt</t>
  </si>
  <si>
    <t>43962.34</t>
  </si>
  <si>
    <t>91282CGQ8</t>
  </si>
  <si>
    <t>91282CGQ8 Govt</t>
  </si>
  <si>
    <t>37789.96</t>
  </si>
  <si>
    <t>91282CGS4</t>
  </si>
  <si>
    <t>91282CGS4 Govt</t>
  </si>
  <si>
    <t>15700.62</t>
  </si>
  <si>
    <t>91282CGZ8</t>
  </si>
  <si>
    <t>91282CGZ8 Govt</t>
  </si>
  <si>
    <t>15622.19</t>
  </si>
  <si>
    <t>91282CHC8</t>
  </si>
  <si>
    <t>91282CHC8 Govt</t>
  </si>
  <si>
    <t>41629.84</t>
  </si>
  <si>
    <t>91282CHF1</t>
  </si>
  <si>
    <t>91282CHF1 Govt</t>
  </si>
  <si>
    <t>15758.44</t>
  </si>
  <si>
    <t>91282CHJ3</t>
  </si>
  <si>
    <t>91282CHJ3 Govt</t>
  </si>
  <si>
    <t>15750.94</t>
  </si>
  <si>
    <t>91282CHR5</t>
  </si>
  <si>
    <t>91282CHR5 Govt</t>
  </si>
  <si>
    <t>15895.94</t>
  </si>
  <si>
    <t>91282CHW4</t>
  </si>
  <si>
    <t>91282CHW4 Govt</t>
  </si>
  <si>
    <t>15965.94</t>
  </si>
  <si>
    <t>91282CHZ7</t>
  </si>
  <si>
    <t>91282CHZ7 Govt</t>
  </si>
  <si>
    <t>16277.50</t>
  </si>
  <si>
    <t>91282CJG7</t>
  </si>
  <si>
    <t>91282CJG7 Govt</t>
  </si>
  <si>
    <t>18492.19</t>
  </si>
  <si>
    <t>91282CJM4</t>
  </si>
  <si>
    <t>91282CJM4 Govt</t>
  </si>
  <si>
    <t>18139.57</t>
  </si>
  <si>
    <t>91282CJQ5</t>
  </si>
  <si>
    <t>91282CJQ5 Govt</t>
  </si>
  <si>
    <t>17681.13</t>
  </si>
  <si>
    <t>91282CJX0</t>
  </si>
  <si>
    <t>91282CJX0 Govt</t>
  </si>
  <si>
    <t>17861.84</t>
  </si>
  <si>
    <t>91282CKC4</t>
  </si>
  <si>
    <t>91282CKC4 Govt</t>
  </si>
  <si>
    <t>18049.57</t>
  </si>
  <si>
    <t>91282CKF7</t>
  </si>
  <si>
    <t>91282CKF7 Govt</t>
  </si>
  <si>
    <t>19946.48</t>
  </si>
  <si>
    <t>91282CKN0</t>
  </si>
  <si>
    <t>91282CKN0 Govt</t>
  </si>
  <si>
    <t>20379.69</t>
  </si>
  <si>
    <t>91282CKT7</t>
  </si>
  <si>
    <t>91282CKT7 Govt</t>
  </si>
  <si>
    <t>32300.62</t>
  </si>
  <si>
    <t>91282CKU4</t>
  </si>
  <si>
    <t>91282CKU4 Govt</t>
  </si>
  <si>
    <t>20382.42</t>
  </si>
  <si>
    <t>91282CKW0</t>
  </si>
  <si>
    <t>91282CKW0 Govt</t>
  </si>
  <si>
    <t>21053.32</t>
  </si>
  <si>
    <t>91282CKX8</t>
  </si>
  <si>
    <t>91282CKX8 Govt</t>
  </si>
  <si>
    <t>27070.14</t>
  </si>
  <si>
    <t>91282CLC3</t>
  </si>
  <si>
    <t>91282CLC3 Govt</t>
  </si>
  <si>
    <t>31856.87</t>
  </si>
  <si>
    <t>91282CLD1</t>
  </si>
  <si>
    <t>91282CLD1 Govt</t>
  </si>
  <si>
    <t>19935.55</t>
  </si>
  <si>
    <t>91282CLJ8</t>
  </si>
  <si>
    <t>91282CLJ8 Govt</t>
  </si>
  <si>
    <t>20560.31</t>
  </si>
  <si>
    <t>91282CLK5</t>
  </si>
  <si>
    <t>91282CLK5 Govt</t>
  </si>
  <si>
    <t>31496.87</t>
  </si>
  <si>
    <t>91282CLM1</t>
  </si>
  <si>
    <t>91282CLM1 Govt</t>
  </si>
  <si>
    <t>20433.16</t>
  </si>
  <si>
    <t>91282CLN9</t>
  </si>
  <si>
    <t>91282CLN9 Govt</t>
  </si>
  <si>
    <t>31363.75</t>
  </si>
  <si>
    <t>91282CLR0</t>
  </si>
  <si>
    <t>91282CLR0 Govt</t>
  </si>
  <si>
    <t>31963.75</t>
  </si>
  <si>
    <t>91282CLU3</t>
  </si>
  <si>
    <t>91282CLU3 Govt</t>
  </si>
  <si>
    <t>19921.48</t>
  </si>
  <si>
    <t>91282CLZ2</t>
  </si>
  <si>
    <t>91282CLZ2 Govt</t>
  </si>
  <si>
    <t>20913.87</t>
  </si>
  <si>
    <t>91282CMA6</t>
  </si>
  <si>
    <t>91282CMA6 Govt</t>
  </si>
  <si>
    <t>31965.00</t>
  </si>
  <si>
    <t>91282CMC2</t>
  </si>
  <si>
    <t>91282CMC2 Govt</t>
  </si>
  <si>
    <t>21295.72</t>
  </si>
  <si>
    <t>91282CMD0</t>
  </si>
  <si>
    <t>91282CMD0 Govt</t>
  </si>
  <si>
    <t>32222.50</t>
  </si>
  <si>
    <t>91282CMG3</t>
  </si>
  <si>
    <t>91282CMG3 Govt</t>
  </si>
  <si>
    <t>32085.62</t>
  </si>
  <si>
    <t>91282CMK4</t>
  </si>
  <si>
    <t>91282CMK4 Govt</t>
  </si>
  <si>
    <t>20153.13</t>
  </si>
  <si>
    <t>91282CMR9</t>
  </si>
  <si>
    <t>91282CMR9 Govt</t>
  </si>
  <si>
    <t>19903.91</t>
  </si>
  <si>
    <t>91282CMT5</t>
  </si>
  <si>
    <t>91282CMT5 Govt</t>
  </si>
  <si>
    <t>19898.83</t>
  </si>
  <si>
    <t>91282CMU2</t>
  </si>
  <si>
    <t>91282CMU2 Govt</t>
  </si>
  <si>
    <t>31816.87</t>
  </si>
  <si>
    <t>91282CMZ1</t>
  </si>
  <si>
    <t>91282CMZ1 Govt</t>
  </si>
  <si>
    <t>31669.38</t>
  </si>
  <si>
    <t>91282CNA5</t>
  </si>
  <si>
    <t>91282CNA5 Govt</t>
  </si>
  <si>
    <t>19762.89</t>
  </si>
  <si>
    <t>91282CNF4</t>
  </si>
  <si>
    <t>91282CNF4 Govt</t>
  </si>
  <si>
    <t>19886.33</t>
  </si>
  <si>
    <t>91282CNG2</t>
  </si>
  <si>
    <t>91282CNG2 Govt</t>
  </si>
  <si>
    <t>31804.38</t>
  </si>
  <si>
    <t>91282CNJ6</t>
  </si>
  <si>
    <t>91282CNJ6 Govt</t>
  </si>
  <si>
    <t>19751.56</t>
  </si>
  <si>
    <t>91282CNK3</t>
  </si>
  <si>
    <t>91282CNK3 Govt</t>
  </si>
  <si>
    <t>31650.00</t>
  </si>
  <si>
    <t>91282CNN7</t>
  </si>
  <si>
    <t>91282CNN7 Govt</t>
  </si>
  <si>
    <t>31645.00</t>
  </si>
  <si>
    <t>91282CNR8</t>
  </si>
  <si>
    <t>91282CNR8 Govt</t>
  </si>
  <si>
    <t>20727.25</t>
  </si>
  <si>
    <t>91282CNW7</t>
  </si>
  <si>
    <t>91282CNW7 Govt</t>
  </si>
  <si>
    <t>20578.36</t>
  </si>
  <si>
    <t>91282CNX5</t>
  </si>
  <si>
    <t>91282CNX5 Govt</t>
  </si>
  <si>
    <t>31325.62</t>
  </si>
  <si>
    <t>91282CNZ0</t>
  </si>
  <si>
    <t>91282CNZ0 Govt</t>
  </si>
  <si>
    <t>19589.84</t>
  </si>
  <si>
    <t>91282CPA3</t>
  </si>
  <si>
    <t>91282CPA3 Govt</t>
  </si>
  <si>
    <t>31318.75</t>
  </si>
  <si>
    <t>91282CPD7</t>
  </si>
  <si>
    <t>91282CPD7 Govt</t>
  </si>
  <si>
    <t>31301.25</t>
  </si>
  <si>
    <t>91282CPF2</t>
  </si>
  <si>
    <t>91282CPF2 Govt</t>
  </si>
  <si>
    <t>19441.41</t>
  </si>
  <si>
    <t>91282CPM7</t>
  </si>
  <si>
    <t>91282CPM7 Govt</t>
  </si>
  <si>
    <t>19432.42</t>
  </si>
  <si>
    <t>91282CPN5</t>
  </si>
  <si>
    <t>91282CPN5 Govt</t>
  </si>
  <si>
    <t>31129.38</t>
  </si>
  <si>
    <t>91282CPQ8</t>
  </si>
  <si>
    <t>91282CPQ8 Govt</t>
  </si>
  <si>
    <t>19562.89</t>
  </si>
  <si>
    <t>91282CPR6</t>
  </si>
  <si>
    <t>91282CPR6 Govt</t>
  </si>
  <si>
    <t>31275.00</t>
  </si>
  <si>
    <t>91282CPW5</t>
  </si>
  <si>
    <t>91282CPW5 Govt</t>
  </si>
  <si>
    <t>31424.38</t>
  </si>
  <si>
    <t>91282CPY1</t>
  </si>
  <si>
    <t>91282CPY1 Govt</t>
  </si>
  <si>
    <t>20680.90</t>
  </si>
  <si>
    <t>91282CQC8</t>
  </si>
  <si>
    <t>91282CQC8 Govt</t>
  </si>
  <si>
    <t>19403.91</t>
  </si>
  <si>
    <t>91282CQD6</t>
  </si>
  <si>
    <t>91282CQD6 Govt</t>
  </si>
  <si>
    <t>31087.50</t>
  </si>
  <si>
    <t>91282CQF1</t>
  </si>
  <si>
    <t>91282CQF1 Govt</t>
  </si>
  <si>
    <t>19971.88</t>
  </si>
  <si>
    <t>91282CQG9</t>
  </si>
  <si>
    <t>91282CQG9 Govt</t>
  </si>
  <si>
    <t>23683.13</t>
  </si>
  <si>
    <t>91282CQK0</t>
  </si>
  <si>
    <t>91282CQK0 Govt</t>
  </si>
  <si>
    <t>31570.00</t>
  </si>
  <si>
    <t>91282CQN4</t>
  </si>
  <si>
    <t>91282CQN4 Govt</t>
  </si>
  <si>
    <t>20806.41</t>
  </si>
  <si>
    <t>00206RKG6</t>
  </si>
  <si>
    <t>00206RKG6 Corp</t>
  </si>
  <si>
    <t>37283.35</t>
  </si>
  <si>
    <t>002824BS8</t>
  </si>
  <si>
    <t>002824BS8 Corp</t>
  </si>
  <si>
    <t>20475.51</t>
  </si>
  <si>
    <t>00287YBX6</t>
  </si>
  <si>
    <t>00287YBX6 Corp</t>
  </si>
  <si>
    <t>20115.13</t>
  </si>
  <si>
    <t>00724PAD1</t>
  </si>
  <si>
    <t>00724PAD1 Corp</t>
  </si>
  <si>
    <t>20327.92</t>
  </si>
  <si>
    <t>015271AU3</t>
  </si>
  <si>
    <t>015271AU3 Corp</t>
  </si>
  <si>
    <t>19984.42</t>
  </si>
  <si>
    <t>01609WAT9</t>
  </si>
  <si>
    <t>01609WAT9 Corp</t>
  </si>
  <si>
    <t>19751.29</t>
  </si>
  <si>
    <t>017175AE0</t>
  </si>
  <si>
    <t>017175AE0 Corp</t>
  </si>
  <si>
    <t>20334.05</t>
  </si>
  <si>
    <t>02079KBK2</t>
  </si>
  <si>
    <t>02079KBK2 Corp</t>
  </si>
  <si>
    <t>20648.88</t>
  </si>
  <si>
    <t>02209SBD4</t>
  </si>
  <si>
    <t>02209SBD4 Corp</t>
  </si>
  <si>
    <t>20073.99</t>
  </si>
  <si>
    <t>023135DD5</t>
  </si>
  <si>
    <t>023135DD5 Corp</t>
  </si>
  <si>
    <t>12816.08</t>
  </si>
  <si>
    <t>025816ED7</t>
  </si>
  <si>
    <t>025816ED7 Corp</t>
  </si>
  <si>
    <t>20053.17</t>
  </si>
  <si>
    <t>03040WAS4</t>
  </si>
  <si>
    <t>03040WAS4 Corp</t>
  </si>
  <si>
    <t>20677.49</t>
  </si>
  <si>
    <t>031162DP2</t>
  </si>
  <si>
    <t>031162DP2 Corp</t>
  </si>
  <si>
    <t>20198.78</t>
  </si>
  <si>
    <t>032095AT8</t>
  </si>
  <si>
    <t>032095AT8 Corp</t>
  </si>
  <si>
    <t>19980.37</t>
  </si>
  <si>
    <t>035240AV2</t>
  </si>
  <si>
    <t>035240AV2 Corp</t>
  </si>
  <si>
    <t>39581.91</t>
  </si>
  <si>
    <t>036752AP8</t>
  </si>
  <si>
    <t>036752AP8 Corp</t>
  </si>
  <si>
    <t>19977.87</t>
  </si>
  <si>
    <t>037833ED8</t>
  </si>
  <si>
    <t>037833ED8 Corp</t>
  </si>
  <si>
    <t>20450.75</t>
  </si>
  <si>
    <t>04010LBB8</t>
  </si>
  <si>
    <t>04010LBB8 Corp</t>
  </si>
  <si>
    <t>20092.26</t>
  </si>
  <si>
    <t>04010LBF9</t>
  </si>
  <si>
    <t>04010LBF9 Corp</t>
  </si>
  <si>
    <t>19142.72</t>
  </si>
  <si>
    <t>04636NAF0</t>
  </si>
  <si>
    <t>04636NAF0 Corp</t>
  </si>
  <si>
    <t>20181.13</t>
  </si>
  <si>
    <t>051473AD8</t>
  </si>
  <si>
    <t>051473AD8 Corp</t>
  </si>
  <si>
    <t>20865.79</t>
  </si>
  <si>
    <t>05351WAB9</t>
  </si>
  <si>
    <t>05351WAB9 Corp</t>
  </si>
  <si>
    <t>20419.96</t>
  </si>
  <si>
    <t>054989AA6</t>
  </si>
  <si>
    <t>054989AA6 Corp</t>
  </si>
  <si>
    <t>20086.39</t>
  </si>
  <si>
    <t>05555LAD3</t>
  </si>
  <si>
    <t>05555LAD3 Corp</t>
  </si>
  <si>
    <t>12246.94</t>
  </si>
  <si>
    <t>05946KAX9</t>
  </si>
  <si>
    <t>05946KAX9 Corp</t>
  </si>
  <si>
    <t>18981.15</t>
  </si>
  <si>
    <t>06051GHD4</t>
  </si>
  <si>
    <t>06051GHD4 Corp</t>
  </si>
  <si>
    <t>73787.43</t>
  </si>
  <si>
    <t>06051GJT7</t>
  </si>
  <si>
    <t>06051GJT7 Corp</t>
  </si>
  <si>
    <t>19056.70</t>
  </si>
  <si>
    <t>06368LGV2</t>
  </si>
  <si>
    <t>06368LGV2 Corp</t>
  </si>
  <si>
    <t>20222.37</t>
  </si>
  <si>
    <t>06406RCB1</t>
  </si>
  <si>
    <t>06406RCB1 Corp</t>
  </si>
  <si>
    <t>20195.51</t>
  </si>
  <si>
    <t>06418GAQ0</t>
  </si>
  <si>
    <t>06418GAQ0 Corp</t>
  </si>
  <si>
    <t>36428.54</t>
  </si>
  <si>
    <t>06738ECY9</t>
  </si>
  <si>
    <t>06738ECY9 Corp</t>
  </si>
  <si>
    <t>15236.83</t>
  </si>
  <si>
    <t>09247XAQ4</t>
  </si>
  <si>
    <t>09247XAQ4 Corp</t>
  </si>
  <si>
    <t>20391.90</t>
  </si>
  <si>
    <t>09261HCC9</t>
  </si>
  <si>
    <t>09261HCC9 Corp</t>
  </si>
  <si>
    <t>20710.91</t>
  </si>
  <si>
    <t>09261XAJ1</t>
  </si>
  <si>
    <t>09261XAJ1 Corp</t>
  </si>
  <si>
    <t>19928.14</t>
  </si>
  <si>
    <t>097023CY9</t>
  </si>
  <si>
    <t>097023CY9 Corp</t>
  </si>
  <si>
    <t>18242.90</t>
  </si>
  <si>
    <t>10112RBD5</t>
  </si>
  <si>
    <t>10112RBD5 Corp</t>
  </si>
  <si>
    <t>12995.16</t>
  </si>
  <si>
    <t>10373QAE0</t>
  </si>
  <si>
    <t>10373QAE0 Corp</t>
  </si>
  <si>
    <t>14908.11</t>
  </si>
  <si>
    <t>111021AE1</t>
  </si>
  <si>
    <t>111021AE1 Corp</t>
  </si>
  <si>
    <t>20141.43</t>
  </si>
  <si>
    <t>11120VAH6</t>
  </si>
  <si>
    <t>11120VAH6 Corp</t>
  </si>
  <si>
    <t>20703.09</t>
  </si>
  <si>
    <t>11135FCB5</t>
  </si>
  <si>
    <t>11135FCB5 Corp</t>
  </si>
  <si>
    <t>14864.95</t>
  </si>
  <si>
    <t>12541WAA8</t>
  </si>
  <si>
    <t>12541WAA8 Corp</t>
  </si>
  <si>
    <t>20844.31</t>
  </si>
  <si>
    <t>125523AH3</t>
  </si>
  <si>
    <t>125523AH3 Corp</t>
  </si>
  <si>
    <t>19918.94</t>
  </si>
  <si>
    <t>125896BU3</t>
  </si>
  <si>
    <t>125896BU3 Corp</t>
  </si>
  <si>
    <t>19536.49</t>
  </si>
  <si>
    <t>126650CX6</t>
  </si>
  <si>
    <t>126650CX6 Corp</t>
  </si>
  <si>
    <t>12935.30</t>
  </si>
  <si>
    <t>13607LNG4</t>
  </si>
  <si>
    <t>13607LNG4 Corp</t>
  </si>
  <si>
    <t>20186.31</t>
  </si>
  <si>
    <t>13607QWB4</t>
  </si>
  <si>
    <t>13607QWB4 Corp</t>
  </si>
  <si>
    <t>13846.54</t>
  </si>
  <si>
    <t>14040HCN3</t>
  </si>
  <si>
    <t>14040HCN3 Corp</t>
  </si>
  <si>
    <t>13479.53</t>
  </si>
  <si>
    <t>14040HCZ6</t>
  </si>
  <si>
    <t>14040HCZ6 Corp</t>
  </si>
  <si>
    <t>19542.78</t>
  </si>
  <si>
    <t>14149YBN7</t>
  </si>
  <si>
    <t>14149YBN7 Corp</t>
  </si>
  <si>
    <t>20241.39</t>
  </si>
  <si>
    <t>14913V2D9</t>
  </si>
  <si>
    <t>14913V2D9 Corp</t>
  </si>
  <si>
    <t>20904.01</t>
  </si>
  <si>
    <t>166764BY5</t>
  </si>
  <si>
    <t>166764BY5 Corp</t>
  </si>
  <si>
    <t>20262.24</t>
  </si>
  <si>
    <t>17275RBR2</t>
  </si>
  <si>
    <t>17275RBR2 Corp</t>
  </si>
  <si>
    <t>14165.83</t>
  </si>
  <si>
    <t>17275RBS0</t>
  </si>
  <si>
    <t>17275RBS0 Corp</t>
  </si>
  <si>
    <t>20362.18</t>
  </si>
  <si>
    <t>172967KA8</t>
  </si>
  <si>
    <t>172967KA8 Corp</t>
  </si>
  <si>
    <t>15987.13</t>
  </si>
  <si>
    <t>172967MP3</t>
  </si>
  <si>
    <t>172967MP3 Corp</t>
  </si>
  <si>
    <t>26668.54</t>
  </si>
  <si>
    <t>174610BF1</t>
  </si>
  <si>
    <t>174610BF1 Corp</t>
  </si>
  <si>
    <t>20497.50</t>
  </si>
  <si>
    <t>200340AT4</t>
  </si>
  <si>
    <t>200340AT4 Corp</t>
  </si>
  <si>
    <t>20611.40</t>
  </si>
  <si>
    <t>205887CC4</t>
  </si>
  <si>
    <t>205887CC4 Corp</t>
  </si>
  <si>
    <t>20012.21</t>
  </si>
  <si>
    <t>225401AP3</t>
  </si>
  <si>
    <t>225401AP3 Corp</t>
  </si>
  <si>
    <t>16609.58</t>
  </si>
  <si>
    <t>22822VAK7</t>
  </si>
  <si>
    <t>22822VAK7 Corp</t>
  </si>
  <si>
    <t>20740.18</t>
  </si>
  <si>
    <t>233331BK2</t>
  </si>
  <si>
    <t>233331BK2 Corp</t>
  </si>
  <si>
    <t>20241.12</t>
  </si>
  <si>
    <t>24422EWR6</t>
  </si>
  <si>
    <t>24422EWR6 Corp</t>
  </si>
  <si>
    <t>11082.75</t>
  </si>
  <si>
    <t>251526CU1</t>
  </si>
  <si>
    <t>251526CU1 Corp</t>
  </si>
  <si>
    <t>12557.16</t>
  </si>
  <si>
    <t>254687FX9</t>
  </si>
  <si>
    <t>254687FX9 Corp</t>
  </si>
  <si>
    <t>20342.87</t>
  </si>
  <si>
    <t>256677AG0</t>
  </si>
  <si>
    <t>256677AG0 Corp</t>
  </si>
  <si>
    <t>40126.25</t>
  </si>
  <si>
    <t>256746AH1</t>
  </si>
  <si>
    <t>256746AH1 Corp</t>
  </si>
  <si>
    <t>20849.28</t>
  </si>
  <si>
    <t>26442CAX2</t>
  </si>
  <si>
    <t>26442CAX2 Corp</t>
  </si>
  <si>
    <t>20769.47</t>
  </si>
  <si>
    <t>26884LBD0</t>
  </si>
  <si>
    <t>26884LBD0 Corp</t>
  </si>
  <si>
    <t>19834.09</t>
  </si>
  <si>
    <t>277432AZ3</t>
  </si>
  <si>
    <t>277432AZ3 Corp</t>
  </si>
  <si>
    <t>19118.48</t>
  </si>
  <si>
    <t>278058DW9</t>
  </si>
  <si>
    <t>278058DW9 Corp</t>
  </si>
  <si>
    <t>11832.23</t>
  </si>
  <si>
    <t>278642AW3</t>
  </si>
  <si>
    <t>278642AW3 Corp</t>
  </si>
  <si>
    <t>20446.85</t>
  </si>
  <si>
    <t>29249EAA7</t>
  </si>
  <si>
    <t>29249EAA7 Corp</t>
  </si>
  <si>
    <t>33989.05</t>
  </si>
  <si>
    <t>29278DAA3</t>
  </si>
  <si>
    <t>29278DAA3 Corp</t>
  </si>
  <si>
    <t>20091.27</t>
  </si>
  <si>
    <t>29278NAG8</t>
  </si>
  <si>
    <t>29278NAG8 Corp</t>
  </si>
  <si>
    <t>11159.31</t>
  </si>
  <si>
    <t>29379VBV4</t>
  </si>
  <si>
    <t>29379VBV4 Corp</t>
  </si>
  <si>
    <t>20136.72</t>
  </si>
  <si>
    <t>30040WAT5</t>
  </si>
  <si>
    <t>30040WAT5 Corp</t>
  </si>
  <si>
    <t>39459.73</t>
  </si>
  <si>
    <t>30225VAK3</t>
  </si>
  <si>
    <t>30225VAK3 Corp</t>
  </si>
  <si>
    <t>20499.44</t>
  </si>
  <si>
    <t>30231GBK7</t>
  </si>
  <si>
    <t>30231GBK7 Corp</t>
  </si>
  <si>
    <t>20337.55</t>
  </si>
  <si>
    <t>30303M8L9</t>
  </si>
  <si>
    <t>30303M8L9 Corp</t>
  </si>
  <si>
    <t>16088.67</t>
  </si>
  <si>
    <t>30303MAB8</t>
  </si>
  <si>
    <t>30303MAB8 Corp</t>
  </si>
  <si>
    <t>20682.19</t>
  </si>
  <si>
    <t>31488VAB3</t>
  </si>
  <si>
    <t>31488VAB3 Corp</t>
  </si>
  <si>
    <t>20653.57</t>
  </si>
  <si>
    <t>31620MCA2</t>
  </si>
  <si>
    <t>31620MCA2 Corp</t>
  </si>
  <si>
    <t>19929.36</t>
  </si>
  <si>
    <t>31620MCD6</t>
  </si>
  <si>
    <t>31620MCD6 Corp</t>
  </si>
  <si>
    <t>18853.58</t>
  </si>
  <si>
    <t>320517AE5</t>
  </si>
  <si>
    <t>320517AE5 Corp</t>
  </si>
  <si>
    <t>20263.38</t>
  </si>
  <si>
    <t>337738AU2</t>
  </si>
  <si>
    <t>337738AU2 Corp</t>
  </si>
  <si>
    <t>20146.04</t>
  </si>
  <si>
    <t>345397ZR7</t>
  </si>
  <si>
    <t>345397ZR7 Corp</t>
  </si>
  <si>
    <t>26810.23</t>
  </si>
  <si>
    <t>369604BZ5</t>
  </si>
  <si>
    <t>369604BZ5 Corp</t>
  </si>
  <si>
    <t>19846.31</t>
  </si>
  <si>
    <t>370334CG7</t>
  </si>
  <si>
    <t>370334CG7 Corp</t>
  </si>
  <si>
    <t>19869.24</t>
  </si>
  <si>
    <t>37045XEB8</t>
  </si>
  <si>
    <t>37045XEB8 Corp</t>
  </si>
  <si>
    <t>20384.71</t>
  </si>
  <si>
    <t>373334KY6</t>
  </si>
  <si>
    <t>373334KY6 Corp</t>
  </si>
  <si>
    <t>19973.97</t>
  </si>
  <si>
    <t>377372AN7</t>
  </si>
  <si>
    <t>377372AN7 Corp</t>
  </si>
  <si>
    <t>20843.49</t>
  </si>
  <si>
    <t>38141GA87</t>
  </si>
  <si>
    <t>38141GA87 Corp</t>
  </si>
  <si>
    <t>16402.33</t>
  </si>
  <si>
    <t>38145GAP5</t>
  </si>
  <si>
    <t>38145GAP5 Corp</t>
  </si>
  <si>
    <t>54525.84</t>
  </si>
  <si>
    <t>38152BAH4</t>
  </si>
  <si>
    <t>38152BAH4 Corp</t>
  </si>
  <si>
    <t>19746.34</t>
  </si>
  <si>
    <t>404119CA5</t>
  </si>
  <si>
    <t>404119CA5 Corp</t>
  </si>
  <si>
    <t>38930.25</t>
  </si>
  <si>
    <t>404280CC1</t>
  </si>
  <si>
    <t>404280CC1 Corp</t>
  </si>
  <si>
    <t>13675.00</t>
  </si>
  <si>
    <t>404280CL1</t>
  </si>
  <si>
    <t>404280CL1 Corp</t>
  </si>
  <si>
    <t>16466.11</t>
  </si>
  <si>
    <t>413875AW5</t>
  </si>
  <si>
    <t>413875AW5 Corp</t>
  </si>
  <si>
    <t>19933.84</t>
  </si>
  <si>
    <t>42824CBT5</t>
  </si>
  <si>
    <t>42824CBT5 Corp</t>
  </si>
  <si>
    <t>11945.48</t>
  </si>
  <si>
    <t>437076BY7</t>
  </si>
  <si>
    <t>437076BY7 Corp</t>
  </si>
  <si>
    <t>13439.99</t>
  </si>
  <si>
    <t>437076CF7</t>
  </si>
  <si>
    <t>437076CF7 Corp</t>
  </si>
  <si>
    <t>20788.25</t>
  </si>
  <si>
    <t>43849RAE5</t>
  </si>
  <si>
    <t>43849RAE5 Corp</t>
  </si>
  <si>
    <t>20676.20</t>
  </si>
  <si>
    <t>443201AB4</t>
  </si>
  <si>
    <t>443201AB4 Corp</t>
  </si>
  <si>
    <t>20223.08</t>
  </si>
  <si>
    <t>446150BC7</t>
  </si>
  <si>
    <t>446150BC7 Corp</t>
  </si>
  <si>
    <t>20602.03</t>
  </si>
  <si>
    <t>456837BU6</t>
  </si>
  <si>
    <t>456837BU6 Corp</t>
  </si>
  <si>
    <t>19890.69</t>
  </si>
  <si>
    <t>45866FAV6</t>
  </si>
  <si>
    <t>45866FAV6 Corp</t>
  </si>
  <si>
    <t>19859.58</t>
  </si>
  <si>
    <t>459200KA8</t>
  </si>
  <si>
    <t>459200KA8 Corp</t>
  </si>
  <si>
    <t>20404.26</t>
  </si>
  <si>
    <t>46647PDG8</t>
  </si>
  <si>
    <t>46647PDG8 Corp</t>
  </si>
  <si>
    <t>89284.12</t>
  </si>
  <si>
    <t>49271VAF7</t>
  </si>
  <si>
    <t>49271VAF7 Corp</t>
  </si>
  <si>
    <t>19994.35</t>
  </si>
  <si>
    <t>49271VAU4</t>
  </si>
  <si>
    <t>49271VAU4 Corp</t>
  </si>
  <si>
    <t>11126.23</t>
  </si>
  <si>
    <t>49326EEQ2</t>
  </si>
  <si>
    <t>49326EEQ2 Corp</t>
  </si>
  <si>
    <t>20163.53</t>
  </si>
  <si>
    <t>52532XAH8</t>
  </si>
  <si>
    <t>52532XAH8 Corp</t>
  </si>
  <si>
    <t>20506.13</t>
  </si>
  <si>
    <t>539439AQ2</t>
  </si>
  <si>
    <t>539439AQ2 Corp</t>
  </si>
  <si>
    <t>13818.83</t>
  </si>
  <si>
    <t>548661EA1</t>
  </si>
  <si>
    <t>548661EA1 Corp</t>
  </si>
  <si>
    <t>20076.96</t>
  </si>
  <si>
    <t>55261FAS3</t>
  </si>
  <si>
    <t>55261FAS3 Corp</t>
  </si>
  <si>
    <t>20118.97</t>
  </si>
  <si>
    <t>55261FAT1</t>
  </si>
  <si>
    <t>55261FAT1 Corp</t>
  </si>
  <si>
    <t>12529.37</t>
  </si>
  <si>
    <t>55336VCA6</t>
  </si>
  <si>
    <t>55336VCA6 Corp</t>
  </si>
  <si>
    <t>19957.31</t>
  </si>
  <si>
    <t>571748BG6</t>
  </si>
  <si>
    <t>571748BG6 Corp</t>
  </si>
  <si>
    <t>19936.56</t>
  </si>
  <si>
    <t>571903BE2</t>
  </si>
  <si>
    <t>571903BE2 Corp</t>
  </si>
  <si>
    <t>19977.41</t>
  </si>
  <si>
    <t>57636QAM6</t>
  </si>
  <si>
    <t>57636QAM6 Corp</t>
  </si>
  <si>
    <t>20206.01</t>
  </si>
  <si>
    <t>58933YAX3</t>
  </si>
  <si>
    <t>58933YAX3 Corp</t>
  </si>
  <si>
    <t>20496.74</t>
  </si>
  <si>
    <t>595017BE3</t>
  </si>
  <si>
    <t>595017BE3 Corp</t>
  </si>
  <si>
    <t>20182.43</t>
  </si>
  <si>
    <t>595620AT2</t>
  </si>
  <si>
    <t>595620AT2 Corp</t>
  </si>
  <si>
    <t>16631.45</t>
  </si>
  <si>
    <t>606822BM5</t>
  </si>
  <si>
    <t>606822BM5 Corp</t>
  </si>
  <si>
    <t>15326.27</t>
  </si>
  <si>
    <t>606822DW1</t>
  </si>
  <si>
    <t>606822DW1 Corp</t>
  </si>
  <si>
    <t>12954.50</t>
  </si>
  <si>
    <t>60687YCR8</t>
  </si>
  <si>
    <t>60687YCR8 Corp</t>
  </si>
  <si>
    <t>20673.33</t>
  </si>
  <si>
    <t>6174468G7</t>
  </si>
  <si>
    <t>6174468G7 Corp</t>
  </si>
  <si>
    <t>78302.19</t>
  </si>
  <si>
    <t>61744YAP3</t>
  </si>
  <si>
    <t>61744YAP3 Corp</t>
  </si>
  <si>
    <t>13812.17</t>
  </si>
  <si>
    <t>62954HBA5</t>
  </si>
  <si>
    <t>62954HBA5 Corp</t>
  </si>
  <si>
    <t>20662.63</t>
  </si>
  <si>
    <t>637432NP6</t>
  </si>
  <si>
    <t>637432NP6 Corp</t>
  </si>
  <si>
    <t>9842.47</t>
  </si>
  <si>
    <t>639057AK4</t>
  </si>
  <si>
    <t>639057AK4 Corp</t>
  </si>
  <si>
    <t>20435.14</t>
  </si>
  <si>
    <t>65339KBR0</t>
  </si>
  <si>
    <t>65339KBR0 Corp</t>
  </si>
  <si>
    <t>20071.56</t>
  </si>
  <si>
    <t>654106AK9</t>
  </si>
  <si>
    <t>654106AK9 Corp</t>
  </si>
  <si>
    <t>20757.40</t>
  </si>
  <si>
    <t>665859AU8</t>
  </si>
  <si>
    <t>665859AU8 Corp</t>
  </si>
  <si>
    <t>20341.62</t>
  </si>
  <si>
    <t>666807BN1</t>
  </si>
  <si>
    <t>666807BN1 Corp</t>
  </si>
  <si>
    <t>31451.89</t>
  </si>
  <si>
    <t>66989HBF4</t>
  </si>
  <si>
    <t>66989HBF4 Corp</t>
  </si>
  <si>
    <t>30775.87</t>
  </si>
  <si>
    <t>682680CB7</t>
  </si>
  <si>
    <t>682680CB7 Corp</t>
  </si>
  <si>
    <t>15951.84</t>
  </si>
  <si>
    <t>68389XCE3</t>
  </si>
  <si>
    <t>68389XCE3 Corp</t>
  </si>
  <si>
    <t>27757.65</t>
  </si>
  <si>
    <t>69121KAH7</t>
  </si>
  <si>
    <t>69121KAH7 Corp</t>
  </si>
  <si>
    <t>19997.36</t>
  </si>
  <si>
    <t>693475BX2</t>
  </si>
  <si>
    <t>693475BX2 Corp</t>
  </si>
  <si>
    <t>14306.98</t>
  </si>
  <si>
    <t>693475CD5</t>
  </si>
  <si>
    <t>693475CD5 Corp</t>
  </si>
  <si>
    <t>20136.42</t>
  </si>
  <si>
    <t>694308JM0</t>
  </si>
  <si>
    <t>694308JM0 Corp</t>
  </si>
  <si>
    <t>14783.96</t>
  </si>
  <si>
    <t>713448GA0</t>
  </si>
  <si>
    <t>713448GA0 Corp</t>
  </si>
  <si>
    <t>20061.63</t>
  </si>
  <si>
    <t>716973AD4</t>
  </si>
  <si>
    <t>716973AD4 Corp</t>
  </si>
  <si>
    <t>36155.00</t>
  </si>
  <si>
    <t>717081EW9</t>
  </si>
  <si>
    <t>717081EW9 Corp</t>
  </si>
  <si>
    <t>20575.47</t>
  </si>
  <si>
    <t>718172DA4</t>
  </si>
  <si>
    <t>718172DA4 Corp</t>
  </si>
  <si>
    <t>20306.05</t>
  </si>
  <si>
    <t>72348NAA7</t>
  </si>
  <si>
    <t>72348NAA7 Corp</t>
  </si>
  <si>
    <t>20079.05</t>
  </si>
  <si>
    <t>742718FH7</t>
  </si>
  <si>
    <t>742718FH7 Corp</t>
  </si>
  <si>
    <t>19991.47</t>
  </si>
  <si>
    <t>74340XBM2</t>
  </si>
  <si>
    <t>74340XBM2 Corp</t>
  </si>
  <si>
    <t>20221.01</t>
  </si>
  <si>
    <t>74949LAC6</t>
  </si>
  <si>
    <t>74949LAC6 Corp</t>
  </si>
  <si>
    <t>20675.02</t>
  </si>
  <si>
    <t>756109BR4</t>
  </si>
  <si>
    <t>756109BR4 Corp</t>
  </si>
  <si>
    <t>20128.55</t>
  </si>
  <si>
    <t>75886FAE7</t>
  </si>
  <si>
    <t>75886FAE7 Corp</t>
  </si>
  <si>
    <t>20365.61</t>
  </si>
  <si>
    <t>76720AAS5</t>
  </si>
  <si>
    <t>76720AAS5 Corp</t>
  </si>
  <si>
    <t>20189.46</t>
  </si>
  <si>
    <t>775109DE8</t>
  </si>
  <si>
    <t>775109DE8 Corp</t>
  </si>
  <si>
    <t>20136.45</t>
  </si>
  <si>
    <t>776743AF3</t>
  </si>
  <si>
    <t>776743AF3 Corp</t>
  </si>
  <si>
    <t>20833.54</t>
  </si>
  <si>
    <t>78017DAC2</t>
  </si>
  <si>
    <t>78017DAC2 Corp</t>
  </si>
  <si>
    <t>16211.82</t>
  </si>
  <si>
    <t>78017DAN8</t>
  </si>
  <si>
    <t>78017DAN8 Corp</t>
  </si>
  <si>
    <t>27821.95</t>
  </si>
  <si>
    <t>785592AX4</t>
  </si>
  <si>
    <t>785592AX4 Corp</t>
  </si>
  <si>
    <t>16849.41</t>
  </si>
  <si>
    <t>79466LAQ7</t>
  </si>
  <si>
    <t>79466LAQ7 Corp</t>
  </si>
  <si>
    <t>16983.43</t>
  </si>
  <si>
    <t>79466LAR5</t>
  </si>
  <si>
    <t>79466LAR5 Corp</t>
  </si>
  <si>
    <t>19996.88</t>
  </si>
  <si>
    <t>80282KBF2</t>
  </si>
  <si>
    <t>80282KBF2 Corp</t>
  </si>
  <si>
    <t>20523.13</t>
  </si>
  <si>
    <t>808513CJ2</t>
  </si>
  <si>
    <t>808513CJ2 Corp</t>
  </si>
  <si>
    <t>20696.84</t>
  </si>
  <si>
    <t>816851BG3</t>
  </si>
  <si>
    <t>816851BG3 Corp</t>
  </si>
  <si>
    <t>20612.56</t>
  </si>
  <si>
    <t>824348BJ4</t>
  </si>
  <si>
    <t>824348BJ4 Corp</t>
  </si>
  <si>
    <t>20002.61</t>
  </si>
  <si>
    <t>828807DF1</t>
  </si>
  <si>
    <t>828807DF1 Corp</t>
  </si>
  <si>
    <t>15927.77</t>
  </si>
  <si>
    <t>83444MAP6</t>
  </si>
  <si>
    <t>83444MAP6 Corp</t>
  </si>
  <si>
    <t>31541.57</t>
  </si>
  <si>
    <t>842400JC8</t>
  </si>
  <si>
    <t>842400JC8 Corp</t>
  </si>
  <si>
    <t>14141.08</t>
  </si>
  <si>
    <t>852060AD4</t>
  </si>
  <si>
    <t>852060AD4 Corp</t>
  </si>
  <si>
    <t>19926.89</t>
  </si>
  <si>
    <t>855244AZ2</t>
  </si>
  <si>
    <t>855244AZ2 Corp</t>
  </si>
  <si>
    <t>20172.87</t>
  </si>
  <si>
    <t>857477CU5</t>
  </si>
  <si>
    <t>857477CU5 Corp</t>
  </si>
  <si>
    <t>20081.60</t>
  </si>
  <si>
    <t>86562MCG3</t>
  </si>
  <si>
    <t>86562MCG3 Corp</t>
  </si>
  <si>
    <t>7548.71</t>
  </si>
  <si>
    <t>86562MED8</t>
  </si>
  <si>
    <t>86562MED8 Corp</t>
  </si>
  <si>
    <t>12792.37</t>
  </si>
  <si>
    <t>87264ABF1</t>
  </si>
  <si>
    <t>87264ABF1 Corp</t>
  </si>
  <si>
    <t>20380.49</t>
  </si>
  <si>
    <t>873923AC0</t>
  </si>
  <si>
    <t>873923AC0 Corp</t>
  </si>
  <si>
    <t>16866.07</t>
  </si>
  <si>
    <t>87612EBH8</t>
  </si>
  <si>
    <t>87612EBH8 Corp</t>
  </si>
  <si>
    <t>20468.64</t>
  </si>
  <si>
    <t>87612GAE1</t>
  </si>
  <si>
    <t>87612GAE1 Corp</t>
  </si>
  <si>
    <t>19679.48</t>
  </si>
  <si>
    <t>879360AD7</t>
  </si>
  <si>
    <t>879360AD7 Corp</t>
  </si>
  <si>
    <t>20181.75</t>
  </si>
  <si>
    <t>879385AD4</t>
  </si>
  <si>
    <t>879385AD4 Corp</t>
  </si>
  <si>
    <t>20256.47</t>
  </si>
  <si>
    <t>882508BG8</t>
  </si>
  <si>
    <t>882508BG8 Corp</t>
  </si>
  <si>
    <t>20591.26</t>
  </si>
  <si>
    <t>88339WAB2</t>
  </si>
  <si>
    <t>88339WAB2 Corp</t>
  </si>
  <si>
    <t>20126.45</t>
  </si>
  <si>
    <t>89115KAB6</t>
  </si>
  <si>
    <t>89115KAB6 Corp</t>
  </si>
  <si>
    <t>20125.29</t>
  </si>
  <si>
    <t>89153VAT6</t>
  </si>
  <si>
    <t>89153VAT6 Corp</t>
  </si>
  <si>
    <t>19842.59</t>
  </si>
  <si>
    <t>89236TLL7</t>
  </si>
  <si>
    <t>89236TLL7 Corp</t>
  </si>
  <si>
    <t>7036.32</t>
  </si>
  <si>
    <t>89352HAW9</t>
  </si>
  <si>
    <t>89352HAW9 Corp</t>
  </si>
  <si>
    <t>20868.69</t>
  </si>
  <si>
    <t>89788MAQ5</t>
  </si>
  <si>
    <t>89788MAQ5 Corp</t>
  </si>
  <si>
    <t>13697.63</t>
  </si>
  <si>
    <t>89788MAU6</t>
  </si>
  <si>
    <t>89788MAU6 Corp</t>
  </si>
  <si>
    <t>20214.04</t>
  </si>
  <si>
    <t>904764BC0</t>
  </si>
  <si>
    <t>904764BC0 Corp</t>
  </si>
  <si>
    <t>20738.98</t>
  </si>
  <si>
    <t>91159HJK7</t>
  </si>
  <si>
    <t>91159HJK7 Corp</t>
  </si>
  <si>
    <t>14012.06</t>
  </si>
  <si>
    <t>91159HJV3</t>
  </si>
  <si>
    <t>91159HJV3 Corp</t>
  </si>
  <si>
    <t>20247.88</t>
  </si>
  <si>
    <t>913017CY3</t>
  </si>
  <si>
    <t>913017CY3 Corp</t>
  </si>
  <si>
    <t>10920.06</t>
  </si>
  <si>
    <t>91324PEQ1</t>
  </si>
  <si>
    <t>91324PEQ1 Corp</t>
  </si>
  <si>
    <t>16386.54</t>
  </si>
  <si>
    <t>92277GAM9</t>
  </si>
  <si>
    <t>92277GAM9 Corp</t>
  </si>
  <si>
    <t>19803.79</t>
  </si>
  <si>
    <t>92343VGJ7</t>
  </si>
  <si>
    <t>92343VGJ7 Corp</t>
  </si>
  <si>
    <t>13630.77</t>
  </si>
  <si>
    <t>92826CAM4</t>
  </si>
  <si>
    <t>92826CAM4 Corp</t>
  </si>
  <si>
    <t>20227.41</t>
  </si>
  <si>
    <t>92840VBA9</t>
  </si>
  <si>
    <t>92840VBA9 Corp</t>
  </si>
  <si>
    <t>19854.02</t>
  </si>
  <si>
    <t>94106LCB3</t>
  </si>
  <si>
    <t>94106LCB3 Corp</t>
  </si>
  <si>
    <t>20057.71</t>
  </si>
  <si>
    <t>95000U3W1</t>
  </si>
  <si>
    <t>95000U3W1 Corp</t>
  </si>
  <si>
    <t>54662.98</t>
  </si>
  <si>
    <t>961214EF6</t>
  </si>
  <si>
    <t>961214EF6 Corp</t>
  </si>
  <si>
    <t>20470.47</t>
  </si>
  <si>
    <t>961214EW9</t>
  </si>
  <si>
    <t>961214EW9 Corp</t>
  </si>
  <si>
    <t>12290.61</t>
  </si>
  <si>
    <t>980236AT0</t>
  </si>
  <si>
    <t>980236AT0 Corp</t>
  </si>
  <si>
    <t>20365.64</t>
  </si>
  <si>
    <t>912828ZS2</t>
  </si>
  <si>
    <t>912828ZS2 Govt</t>
  </si>
  <si>
    <t>250597.77</t>
  </si>
  <si>
    <t>912828ZN3</t>
  </si>
  <si>
    <t>912828ZN3 Govt</t>
  </si>
  <si>
    <t>859096.07</t>
  </si>
  <si>
    <t>181901.08</t>
  </si>
  <si>
    <t>91282CMY4</t>
  </si>
  <si>
    <t>91282CMY4 Govt</t>
  </si>
  <si>
    <t>849940.26</t>
  </si>
  <si>
    <t>912810FB9</t>
  </si>
  <si>
    <t>912810FB9 Govt</t>
  </si>
  <si>
    <t>24658.13</t>
  </si>
  <si>
    <t>912810FF0</t>
  </si>
  <si>
    <t>912810FF0 Govt</t>
  </si>
  <si>
    <t>24605.63</t>
  </si>
  <si>
    <t>9128282R0</t>
  </si>
  <si>
    <t>9128282R0 Govt</t>
  </si>
  <si>
    <t>61694.47</t>
  </si>
  <si>
    <t>9128283F5</t>
  </si>
  <si>
    <t>9128283F5 Govt</t>
  </si>
  <si>
    <t>61402.85</t>
  </si>
  <si>
    <t>9128283W8</t>
  </si>
  <si>
    <t>9128283W8 Govt</t>
  </si>
  <si>
    <t>88013.67</t>
  </si>
  <si>
    <t>9128284N7</t>
  </si>
  <si>
    <t>9128284N7 Govt</t>
  </si>
  <si>
    <t>87931.05</t>
  </si>
  <si>
    <t>9128284V9</t>
  </si>
  <si>
    <t>9128284V9 Govt</t>
  </si>
  <si>
    <t>87665.63</t>
  </si>
  <si>
    <t>9128285M8</t>
  </si>
  <si>
    <t>9128285M8 Govt</t>
  </si>
  <si>
    <t>87916.99</t>
  </si>
  <si>
    <t>9128286B1</t>
  </si>
  <si>
    <t>9128286B1 Govt</t>
  </si>
  <si>
    <t>86586.33</t>
  </si>
  <si>
    <t>9128286T2</t>
  </si>
  <si>
    <t>9128286T2 Govt</t>
  </si>
  <si>
    <t>79993.59</t>
  </si>
  <si>
    <t>52248.18</t>
  </si>
  <si>
    <t>912828ZV5</t>
  </si>
  <si>
    <t>912828ZV5 Govt</t>
  </si>
  <si>
    <t>54991.75</t>
  </si>
  <si>
    <t>91282CAD3</t>
  </si>
  <si>
    <t>91282CAD3 Govt</t>
  </si>
  <si>
    <t>60486.15</t>
  </si>
  <si>
    <t>91282CAH4</t>
  </si>
  <si>
    <t>91282CAH4 Govt</t>
  </si>
  <si>
    <t>54639.84</t>
  </si>
  <si>
    <t>91282CAL5</t>
  </si>
  <si>
    <t>91282CAL5 Govt</t>
  </si>
  <si>
    <t>60115.78</t>
  </si>
  <si>
    <t>91282CAU5</t>
  </si>
  <si>
    <t>91282CAU5 Govt</t>
  </si>
  <si>
    <t>60017.34</t>
  </si>
  <si>
    <t>91282CAY7</t>
  </si>
  <si>
    <t>91282CAY7 Govt</t>
  </si>
  <si>
    <t>79934.53</t>
  </si>
  <si>
    <t>91282CBB6</t>
  </si>
  <si>
    <t>91282CBB6 Govt</t>
  </si>
  <si>
    <t>82541.25</t>
  </si>
  <si>
    <t>91282CBJ9</t>
  </si>
  <si>
    <t>91282CBJ9 Govt</t>
  </si>
  <si>
    <t>85308.40</t>
  </si>
  <si>
    <t>91282CBP5</t>
  </si>
  <si>
    <t>91282CBP5 Govt</t>
  </si>
  <si>
    <t>85619.53</t>
  </si>
  <si>
    <t>91282CBS9</t>
  </si>
  <si>
    <t>91282CBS9 Govt</t>
  </si>
  <si>
    <t>82740.06</t>
  </si>
  <si>
    <t>91282CBZ3</t>
  </si>
  <si>
    <t>91282CBZ3 Govt</t>
  </si>
  <si>
    <t>85399.80</t>
  </si>
  <si>
    <t>91282CCE9</t>
  </si>
  <si>
    <t>91282CCE9 Govt</t>
  </si>
  <si>
    <t>85192.38</t>
  </si>
  <si>
    <t>91282CCH2</t>
  </si>
  <si>
    <t>91282CCH2 Govt</t>
  </si>
  <si>
    <t>82165.72</t>
  </si>
  <si>
    <t>91282CCR0</t>
  </si>
  <si>
    <t>91282CCR0 Govt</t>
  </si>
  <si>
    <t>84352.15</t>
  </si>
  <si>
    <t>91282CCV1</t>
  </si>
  <si>
    <t>91282CCV1 Govt</t>
  </si>
  <si>
    <t>84364.45</t>
  </si>
  <si>
    <t>91282CCY5</t>
  </si>
  <si>
    <t>91282CCY5 Govt</t>
  </si>
  <si>
    <t>84399.61</t>
  </si>
  <si>
    <t>91282CDF5</t>
  </si>
  <si>
    <t>91282CDF5 Govt</t>
  </si>
  <si>
    <t>81633.87</t>
  </si>
  <si>
    <t>91282CDL2</t>
  </si>
  <si>
    <t>91282CDL2 Govt</t>
  </si>
  <si>
    <t>81710.33</t>
  </si>
  <si>
    <t>91282CDP3</t>
  </si>
  <si>
    <t>91282CDP3 Govt</t>
  </si>
  <si>
    <t>81278.73</t>
  </si>
  <si>
    <t>91282CDW8</t>
  </si>
  <si>
    <t>91282CDW8 Govt</t>
  </si>
  <si>
    <t>79061.72</t>
  </si>
  <si>
    <t>91282CEB3</t>
  </si>
  <si>
    <t>91282CEB3 Govt</t>
  </si>
  <si>
    <t>79191.33</t>
  </si>
  <si>
    <t>91282CEE7</t>
  </si>
  <si>
    <t>91282CEE7 Govt</t>
  </si>
  <si>
    <t>60101.02</t>
  </si>
  <si>
    <t>91282CEM9</t>
  </si>
  <si>
    <t>91282CEM9 Govt</t>
  </si>
  <si>
    <t>57960.94</t>
  </si>
  <si>
    <t>91282CET4</t>
  </si>
  <si>
    <t>91282CET4 Govt</t>
  </si>
  <si>
    <t>62173.36</t>
  </si>
  <si>
    <t>91282CEW7</t>
  </si>
  <si>
    <t>91282CEW7 Govt</t>
  </si>
  <si>
    <t>62482.59</t>
  </si>
  <si>
    <t>91282CFB2</t>
  </si>
  <si>
    <t>91282CFB2 Govt</t>
  </si>
  <si>
    <t>62077.15</t>
  </si>
  <si>
    <t>91282CFH9</t>
  </si>
  <si>
    <t>91282CFH9 Govt</t>
  </si>
  <si>
    <t>62278.95</t>
  </si>
  <si>
    <t>91282CFM8</t>
  </si>
  <si>
    <t>91282CFM8 Govt</t>
  </si>
  <si>
    <t>62997.54</t>
  </si>
  <si>
    <t>91282CFU0</t>
  </si>
  <si>
    <t>91282CFU0 Govt</t>
  </si>
  <si>
    <t>59976.56</t>
  </si>
  <si>
    <t>91282CFZ9</t>
  </si>
  <si>
    <t>91282CFZ9 Govt</t>
  </si>
  <si>
    <t>59775.00</t>
  </si>
  <si>
    <t>91282CGC9</t>
  </si>
  <si>
    <t>91282CGC9 Govt</t>
  </si>
  <si>
    <t>62753.91</t>
  </si>
  <si>
    <t>91282CGH8</t>
  </si>
  <si>
    <t>91282CGH8 Govt</t>
  </si>
  <si>
    <t>102955.94</t>
  </si>
  <si>
    <t>91282CGP0</t>
  </si>
  <si>
    <t>91282CGP0 Govt</t>
  </si>
  <si>
    <t>59855.86</t>
  </si>
  <si>
    <t>91282CGT2</t>
  </si>
  <si>
    <t>91282CGT2 Govt</t>
  </si>
  <si>
    <t>62437.68</t>
  </si>
  <si>
    <t>91282CHA2</t>
  </si>
  <si>
    <t>91282CHA2 Govt</t>
  </si>
  <si>
    <t>62272.79</t>
  </si>
  <si>
    <t>91282CHE4</t>
  </si>
  <si>
    <t>91282CHE4 Govt</t>
  </si>
  <si>
    <t>59421.09</t>
  </si>
  <si>
    <t>91282CHK0</t>
  </si>
  <si>
    <t>91282CHK0 Govt</t>
  </si>
  <si>
    <t>62820.35</t>
  </si>
  <si>
    <t>91282CHQ7</t>
  </si>
  <si>
    <t>91282CHQ7 Govt</t>
  </si>
  <si>
    <t>62963.09</t>
  </si>
  <si>
    <t>91282CHX2</t>
  </si>
  <si>
    <t>91282CHX2 Govt</t>
  </si>
  <si>
    <t>63280.55</t>
  </si>
  <si>
    <t>91282CJA0</t>
  </si>
  <si>
    <t>91282CJA0 Govt</t>
  </si>
  <si>
    <t>84838.36</t>
  </si>
  <si>
    <t>91282CJF9</t>
  </si>
  <si>
    <t>91282CJF9 Govt</t>
  </si>
  <si>
    <t>85323.98</t>
  </si>
  <si>
    <t>91282CJN2</t>
  </si>
  <si>
    <t>91282CJN2 Govt</t>
  </si>
  <si>
    <t>87431.60</t>
  </si>
  <si>
    <t>91282CJR3</t>
  </si>
  <si>
    <t>91282CJR3 Govt</t>
  </si>
  <si>
    <t>78230.06</t>
  </si>
  <si>
    <t>91282CJW2</t>
  </si>
  <si>
    <t>91282CJW2 Govt</t>
  </si>
  <si>
    <t>89648.44</t>
  </si>
  <si>
    <t>91282CKD2</t>
  </si>
  <si>
    <t>91282CKD2 Govt</t>
  </si>
  <si>
    <t>93223.42</t>
  </si>
  <si>
    <t>91282CKG5</t>
  </si>
  <si>
    <t>91282CKG5 Govt</t>
  </si>
  <si>
    <t>92923.71</t>
  </si>
  <si>
    <t>91282CKP5</t>
  </si>
  <si>
    <t>91282CKP5 Govt</t>
  </si>
  <si>
    <t>100237.50</t>
  </si>
  <si>
    <t>91282CKV2</t>
  </si>
  <si>
    <t>91282CKV2 Govt</t>
  </si>
  <si>
    <t>90473.30</t>
  </si>
  <si>
    <t>91282CKZ3</t>
  </si>
  <si>
    <t>91282CKZ3 Govt</t>
  </si>
  <si>
    <t>87245.12</t>
  </si>
  <si>
    <t>91282CLG4</t>
  </si>
  <si>
    <t>91282CLG4 Govt</t>
  </si>
  <si>
    <t>86643.16</t>
  </si>
  <si>
    <t>91282CLL3</t>
  </si>
  <si>
    <t>91282CLL3 Govt</t>
  </si>
  <si>
    <t>89198.44</t>
  </si>
  <si>
    <t>91282CLQ2</t>
  </si>
  <si>
    <t>91282CLQ2 Govt</t>
  </si>
  <si>
    <t>86712.83</t>
  </si>
  <si>
    <t>91282CLX7</t>
  </si>
  <si>
    <t>91282CLX7 Govt</t>
  </si>
  <si>
    <t>86979.61</t>
  </si>
  <si>
    <t>91282CMB4</t>
  </si>
  <si>
    <t>91282CMB4 Govt</t>
  </si>
  <si>
    <t>89817.19</t>
  </si>
  <si>
    <t>91282CMF5</t>
  </si>
  <si>
    <t>91282CMF5 Govt</t>
  </si>
  <si>
    <t>90130.08</t>
  </si>
  <si>
    <t>91282CMN8</t>
  </si>
  <si>
    <t>91282CMN8 Govt</t>
  </si>
  <si>
    <t>87125.74</t>
  </si>
  <si>
    <t>91282CMS7</t>
  </si>
  <si>
    <t>91282CMS7 Govt</t>
  </si>
  <si>
    <t>89590.43</t>
  </si>
  <si>
    <t>91282CMW8</t>
  </si>
  <si>
    <t>91282CMW8 Govt</t>
  </si>
  <si>
    <t>89377.73</t>
  </si>
  <si>
    <t>91282CND9</t>
  </si>
  <si>
    <t>91282CND9 Govt</t>
  </si>
  <si>
    <t>89346.09</t>
  </si>
  <si>
    <t>91282CNE7</t>
  </si>
  <si>
    <t>91282CNE7 Govt</t>
  </si>
  <si>
    <t>89829.98</t>
  </si>
  <si>
    <t>91282CNH0</t>
  </si>
  <si>
    <t>91282CNH0 Govt</t>
  </si>
  <si>
    <t>89530.66</t>
  </si>
  <si>
    <t>91282CNL1</t>
  </si>
  <si>
    <t>91282CNL1 Govt</t>
  </si>
  <si>
    <t>102660.06</t>
  </si>
  <si>
    <t>91282CNM9</t>
  </si>
  <si>
    <t>91282CNM9 Govt</t>
  </si>
  <si>
    <t>89493.75</t>
  </si>
  <si>
    <t>91282CNP2</t>
  </si>
  <si>
    <t>91282CNP2 Govt</t>
  </si>
  <si>
    <t>104721.09</t>
  </si>
  <si>
    <t>91282CNU1</t>
  </si>
  <si>
    <t>91282CNU1 Govt</t>
  </si>
  <si>
    <t>78142.11</t>
  </si>
  <si>
    <t>91282CNV9</t>
  </si>
  <si>
    <t>91282CNV9 Govt</t>
  </si>
  <si>
    <t>92465.98</t>
  </si>
  <si>
    <t>91282CNY3</t>
  </si>
  <si>
    <t>91282CNY3 Govt</t>
  </si>
  <si>
    <t>88512.89</t>
  </si>
  <si>
    <t>91282CPB1</t>
  </si>
  <si>
    <t>91282CPB1 Govt</t>
  </si>
  <si>
    <t>102207.38</t>
  </si>
  <si>
    <t>91282CPC9</t>
  </si>
  <si>
    <t>91282CPC9 Govt</t>
  </si>
  <si>
    <t>88699.22</t>
  </si>
  <si>
    <t>91282CPE5</t>
  </si>
  <si>
    <t>91282CPE5 Govt</t>
  </si>
  <si>
    <t>113029.22</t>
  </si>
  <si>
    <t>91282CPK1</t>
  </si>
  <si>
    <t>91282CPK1 Govt</t>
  </si>
  <si>
    <t>77827.34</t>
  </si>
  <si>
    <t>91282CPL9</t>
  </si>
  <si>
    <t>91282CPL9 Govt</t>
  </si>
  <si>
    <t>101909.65</t>
  </si>
  <si>
    <t>91282CPP0</t>
  </si>
  <si>
    <t>91282CPP0 Govt</t>
  </si>
  <si>
    <t>88627.15</t>
  </si>
  <si>
    <t>91282CPS4</t>
  </si>
  <si>
    <t>91282CPS4 Govt</t>
  </si>
  <si>
    <t>112710.82</t>
  </si>
  <si>
    <t>91282CPT2</t>
  </si>
  <si>
    <t>91282CPT2 Govt</t>
  </si>
  <si>
    <t>88572.66</t>
  </si>
  <si>
    <t>91282CQA2</t>
  </si>
  <si>
    <t>91282CQA2 Govt</t>
  </si>
  <si>
    <t>88533.98</t>
  </si>
  <si>
    <t>91282CQB0</t>
  </si>
  <si>
    <t>91282CQB0 Govt</t>
  </si>
  <si>
    <t>112590.59</t>
  </si>
  <si>
    <t>91282CQE4</t>
  </si>
  <si>
    <t>91282CQE4 Govt</t>
  </si>
  <si>
    <t>91282CQH7</t>
  </si>
  <si>
    <t>91282CQH7 Govt</t>
  </si>
  <si>
    <t>102519.20</t>
  </si>
  <si>
    <t>91282CQJ3</t>
  </si>
  <si>
    <t>91282CQJ3 Govt</t>
  </si>
  <si>
    <t>89349.61</t>
  </si>
  <si>
    <t>91282CQL8</t>
  </si>
  <si>
    <t>91282CQL8 Govt</t>
  </si>
  <si>
    <t>88377.70</t>
  </si>
  <si>
    <t>91282CQR5</t>
  </si>
  <si>
    <t>91282CQR5 Govt</t>
  </si>
  <si>
    <t>89342.58</t>
  </si>
  <si>
    <t>247695.09</t>
  </si>
  <si>
    <t>724244.87</t>
  </si>
  <si>
    <t>182868.64</t>
  </si>
  <si>
    <t>831983.78</t>
  </si>
  <si>
    <t>172225.49</t>
  </si>
  <si>
    <t>733223.12</t>
  </si>
  <si>
    <t>222538.56</t>
  </si>
  <si>
    <t>862008.26</t>
  </si>
  <si>
    <t>875877.41</t>
  </si>
  <si>
    <t>183836.20</t>
  </si>
  <si>
    <t>902778.92</t>
  </si>
  <si>
    <t>180933.52</t>
  </si>
  <si>
    <t>854928.18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</si>
</sst>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Data...2012228715</v>
        <stp/>
        <stp>BDP|10638741581756933338</stp>
        <tr r="AA60" s="1"/>
      </tp>
      <tp t="s">
        <v>#N/A Requesting Data...1645400503</v>
        <stp/>
        <stp>BDP|14064611409939728161</stp>
        <tr r="E50" s="2"/>
      </tp>
      <tp t="s">
        <v>#N/A Requesting Data...2402775322</v>
        <stp/>
        <stp>BDP|12882568086974356121</stp>
        <tr r="H199" s="2"/>
      </tp>
      <tp t="s">
        <v>#N/A Requesting Data...1973256993</v>
        <stp/>
        <stp>BDP|18065904499121109310</stp>
        <tr r="G281" s="2"/>
      </tp>
      <tp t="s">
        <v>#N/A Requesting Data...4028413180</v>
        <stp/>
        <stp>BDP|10271980835784324453</stp>
        <tr r="H618" s="2"/>
      </tp>
      <tp t="s">
        <v>#N/A Requesting Data...3209436392</v>
        <stp/>
        <stp>BDP|15368589326321653929</stp>
        <tr r="F193" s="2"/>
      </tp>
      <tp t="s">
        <v>#N/A Requesting Data...4104674006</v>
        <stp/>
        <stp>BDP|14367555086286828516</stp>
        <tr r="AA74" s="1"/>
      </tp>
      <tp t="s">
        <v>#N/A Requesting Data...2909395033</v>
        <stp/>
        <stp>BDP|15349544586830918202</stp>
        <tr r="H80" s="2"/>
      </tp>
      <tp t="s">
        <v>#N/A Requesting Data...3335505423</v>
        <stp/>
        <stp>BDP|15495933013622859545</stp>
        <tr r="H519" s="2"/>
      </tp>
      <tp t="s">
        <v>#N/A Requesting Data...3236380816</v>
        <stp/>
        <stp>BDP|10697395296811399113</stp>
        <tr r="G545" s="2"/>
      </tp>
      <tp t="s">
        <v>#N/A Requesting Data...1969030492</v>
        <stp/>
        <stp>BDP|17108087003308917581</stp>
        <tr r="H428" s="2"/>
      </tp>
      <tp t="s">
        <v>#N/A Requesting Data...2614588081</v>
        <stp/>
        <stp>BDP|15750896117712763448</stp>
        <tr r="AB75" s="1"/>
      </tp>
      <tp t="s">
        <v>#N/A Requesting Data...2802262091</v>
        <stp/>
        <stp>BDP|14836957962269181841</stp>
        <tr r="G68" s="2"/>
      </tp>
      <tp t="s">
        <v>#N/A Requesting Data...2601252211</v>
        <stp/>
        <stp>BDP|16857958060610477332</stp>
        <tr r="F260" s="2"/>
      </tp>
      <tp t="s">
        <v>#N/A Requesting Data...3975101474</v>
        <stp/>
        <stp>BDP|17671186233907121864</stp>
        <tr r="F450" s="2"/>
      </tp>
      <tp t="s">
        <v>#N/A Requesting Data...1985375976</v>
        <stp/>
        <stp>BDP|17644315898735455211</stp>
        <tr r="G232" s="2"/>
      </tp>
      <tp t="s">
        <v>#N/A Requesting Data...3198049830</v>
        <stp/>
        <stp>BDP|18132631576347734490</stp>
        <tr r="AB33" s="1"/>
      </tp>
      <tp t="s">
        <v>#N/A Requesting Data...2723435127</v>
        <stp/>
        <stp>BDP|11560439584810145791</stp>
        <tr r="F431" s="2"/>
      </tp>
      <tp t="s">
        <v>#N/A Requesting Data...1865867384</v>
        <stp/>
        <stp>BDP|18057286508681904135</stp>
        <tr r="E220" s="2"/>
      </tp>
      <tp t="s">
        <v>#N/A Requesting Data...3021725290</v>
        <stp/>
        <stp>BDP|11839329907290957895</stp>
        <tr r="G278" s="2"/>
      </tp>
      <tp t="s">
        <v>#N/A Requesting Data...4129112584</v>
        <stp/>
        <stp>BDP|13665473737646891834</stp>
        <tr r="E497" s="2"/>
      </tp>
      <tp t="s">
        <v>#N/A Requesting Data...2614392582</v>
        <stp/>
        <stp>BDP|11263219841014840976</stp>
        <tr r="F294" s="2"/>
      </tp>
      <tp t="s">
        <v>#N/A Requesting Data...2299797430</v>
        <stp/>
        <stp>BDP|11385293046714104901</stp>
        <tr r="E107" s="2"/>
      </tp>
      <tp t="s">
        <v>#N/A Requesting Data...3447111587</v>
        <stp/>
        <stp>BDP|17715961809815530113</stp>
        <tr r="E381" s="2"/>
      </tp>
      <tp t="s">
        <v>#N/A Requesting Data...3015897006</v>
        <stp/>
        <stp>BDP|17975067255208457022</stp>
        <tr r="F531" s="2"/>
        <tr r="F626" s="2"/>
        <tr r="F628" s="2"/>
        <tr r="F630" s="2"/>
        <tr r="F634" s="2"/>
        <tr r="F638" s="2"/>
      </tp>
      <tp t="s">
        <v>#N/A Requesting Data...3277886283</v>
        <stp/>
        <stp>BDP|11858260567496559900</stp>
        <tr r="F380" s="2"/>
      </tp>
      <tp t="s">
        <v>#N/A Requesting Data...3652088611</v>
        <stp/>
        <stp>BDP|16762481013550863980</stp>
        <tr r="G469" s="2"/>
      </tp>
      <tp t="s">
        <v>#N/A Requesting Data...2843076750</v>
        <stp/>
        <stp>BDP|17023618770329818567</stp>
        <tr r="E128" s="2"/>
      </tp>
      <tp t="s">
        <v>#N/A Requesting Data...3926620764</v>
        <stp/>
        <stp>BDP|10812127990697396568</stp>
        <tr r="G273" s="2"/>
      </tp>
      <tp t="s">
        <v>#N/A Requesting Data...2150902051</v>
        <stp/>
        <stp>BDP|12170235202128920261</stp>
        <tr r="E484" s="2"/>
      </tp>
      <tp t="s">
        <v>#N/A Requesting Data...2592114494</v>
        <stp/>
        <stp>BDP|15971423788586453583</stp>
        <tr r="G536" s="2"/>
      </tp>
      <tp t="s">
        <v>#N/A Requesting Data...3019857366</v>
        <stp/>
        <stp>BDP|17980977617505556024</stp>
        <tr r="G85" s="2"/>
      </tp>
      <tp t="s">
        <v>#N/A Requesting Data...2667077673</v>
        <stp/>
        <stp>BDP|13486292417669104356</stp>
        <tr r="F509" s="2"/>
      </tp>
      <tp t="s">
        <v>#N/A Requesting Data...2162436135</v>
        <stp/>
        <stp>BDP|10689298583634783456</stp>
        <tr r="E66" s="2"/>
      </tp>
      <tp t="s">
        <v>#N/A Requesting Data...1726150179</v>
        <stp/>
        <stp>BDP|14954440181746747455</stp>
        <tr r="F313" s="2"/>
      </tp>
      <tp t="s">
        <v>#N/A Requesting Data...3157313664</v>
        <stp/>
        <stp>BDP|16529057900279918571</stp>
        <tr r="Z7" s="1"/>
      </tp>
      <tp t="s">
        <v>#N/A Requesting Data...1700363546</v>
        <stp/>
        <stp>BDP|16872276296980007780</stp>
        <tr r="E463" s="2"/>
      </tp>
      <tp t="s">
        <v>#N/A Requesting Data...1784775701</v>
        <stp/>
        <stp>BDP|10867898916114649706</stp>
        <tr r="E531" s="2"/>
        <tr r="E626" s="2"/>
        <tr r="E628" s="2"/>
        <tr r="E630" s="2"/>
        <tr r="E634" s="2"/>
        <tr r="E638" s="2"/>
      </tp>
      <tp t="s">
        <v>#N/A Requesting Data...3097821109</v>
        <stp/>
        <stp>BDP|18394368625525929685</stp>
        <tr r="AA11" s="1"/>
      </tp>
      <tp t="s">
        <v>#N/A Requesting Data...1797824049</v>
        <stp/>
        <stp>BDP|17719501184750041022</stp>
        <tr r="AB87" s="1"/>
      </tp>
      <tp t="s">
        <v>#N/A Requesting Data...3614130933</v>
        <stp/>
        <stp>BDP|13757517745259301110</stp>
        <tr r="E106" s="2"/>
      </tp>
      <tp t="s">
        <v>#N/A Requesting Data...2776683709</v>
        <stp/>
        <stp>BDP|11071063173064276863</stp>
        <tr r="H357" s="2"/>
      </tp>
      <tp t="s">
        <v>#N/A Requesting Data...1776520800</v>
        <stp/>
        <stp>BDP|10014379012451428909</stp>
        <tr r="E253" s="2"/>
      </tp>
      <tp t="s">
        <v>#N/A Requesting Data...4131349701</v>
        <stp/>
        <stp>BDP|11107800605163136045</stp>
        <tr r="E366" s="2"/>
      </tp>
      <tp t="s">
        <v>#N/A Requesting Data...2024699072</v>
        <stp/>
        <stp>BDP|13265363612552292947</stp>
        <tr r="F306" s="2"/>
      </tp>
      <tp t="s">
        <v>#N/A Requesting Data...2759208515</v>
        <stp/>
        <stp>BDP|11991783085853585718</stp>
        <tr r="E505" s="2"/>
      </tp>
      <tp t="s">
        <v>#N/A Requesting Data...1830463835</v>
        <stp/>
        <stp>BDP|12785203236260261906</stp>
        <tr r="F81" s="2"/>
      </tp>
      <tp t="s">
        <v>#N/A Requesting Data...2394162750</v>
        <stp/>
        <stp>BDP|18245413660949561955</stp>
        <tr r="H165" s="2"/>
      </tp>
      <tp t="s">
        <v>#N/A Requesting Data...2932836332</v>
        <stp/>
        <stp>BDP|12392330737529267167</stp>
        <tr r="F164" s="2"/>
      </tp>
      <tp t="s">
        <v>#N/A Requesting Data...1951487008</v>
        <stp/>
        <stp>BDP|10476831472225570031</stp>
        <tr r="E500" s="2"/>
      </tp>
      <tp t="s">
        <v>#N/A Requesting Data...3235666561</v>
        <stp/>
        <stp>BDP|16497134182277514225</stp>
        <tr r="H109" s="2"/>
      </tp>
      <tp t="s">
        <v>#N/A Requesting Data...2396594826</v>
        <stp/>
        <stp>BDP|18417416964763419376</stp>
        <tr r="F560" s="2"/>
      </tp>
      <tp t="s">
        <v>#N/A Requesting Data...1930908065</v>
        <stp/>
        <stp>BDP|15020863133852147669</stp>
        <tr r="E334" s="2"/>
      </tp>
      <tp t="s">
        <v>#N/A Requesting Data...2394242406</v>
        <stp/>
        <stp>BDP|16791025293475410071</stp>
        <tr r="E446" s="2"/>
      </tp>
      <tp t="s">
        <v>#N/A Requesting Data...3619169546</v>
        <stp/>
        <stp>BDP|10754662711788062559</stp>
        <tr r="AB53" s="1"/>
      </tp>
      <tp t="s">
        <v>#N/A Requesting Data...3390484746</v>
        <stp/>
        <stp>BDP|16288704945099571675</stp>
        <tr r="AB94" s="1"/>
      </tp>
      <tp t="s">
        <v>#N/A Requesting Data...2895845604</v>
        <stp/>
        <stp>BDP|15343703243339200573</stp>
        <tr r="H108" s="2"/>
      </tp>
      <tp t="s">
        <v>#N/A Requesting Data...3698791731</v>
        <stp/>
        <stp>BDP|14823092705739236732</stp>
        <tr r="E390" s="2"/>
      </tp>
      <tp t="s">
        <v>#N/A Requesting Data...4130509018</v>
        <stp/>
        <stp>BDP|17678352286537183100</stp>
        <tr r="E599" s="2"/>
      </tp>
      <tp t="s">
        <v>#N/A Requesting Data...2042847122</v>
        <stp/>
        <stp>BDP|12217513016799626571</stp>
        <tr r="AA50" s="1"/>
      </tp>
      <tp t="s">
        <v>#N/A Requesting Data...2738639267</v>
        <stp/>
        <stp>BDP|15589097988181008635</stp>
        <tr r="F247" s="2"/>
      </tp>
      <tp t="s">
        <v>#N/A Requesting Data...2746338603</v>
        <stp/>
        <stp>BDP|14777844566885527576</stp>
        <tr r="F276" s="2"/>
      </tp>
      <tp t="s">
        <v>#N/A Requesting Data...3053541447</v>
        <stp/>
        <stp>BDP|15507320534588597712</stp>
        <tr r="F467" s="2"/>
      </tp>
      <tp t="s">
        <v>#N/A Requesting Data...1854838933</v>
        <stp/>
        <stp>BDP|11618062186217726460</stp>
        <tr r="H47" s="2"/>
      </tp>
      <tp t="s">
        <v>#N/A Requesting Data...2707715560</v>
        <stp/>
        <stp>BDP|13415194372269013687</stp>
        <tr r="Z73" s="1"/>
      </tp>
      <tp t="s">
        <v>#N/A Requesting Data...3956530524</v>
        <stp/>
        <stp>BDP|10854443313296890916</stp>
        <tr r="Z89" s="1"/>
      </tp>
      <tp t="s">
        <v>#N/A Requesting Data...3423179756</v>
        <stp/>
        <stp>BDP|18090916574274742847</stp>
        <tr r="E460" s="2"/>
      </tp>
      <tp t="s">
        <v>#N/A Requesting Data...2315262666</v>
        <stp/>
        <stp>BDP|12803230720781576982</stp>
        <tr r="F265" s="2"/>
      </tp>
      <tp t="s">
        <v>#N/A Requesting Data...3743952691</v>
        <stp/>
        <stp>BDP|10858596892571737722</stp>
        <tr r="H141" s="2"/>
      </tp>
      <tp t="s">
        <v>#N/A Requesting Data...2848711793</v>
        <stp/>
        <stp>BDP|10668118499001138265</stp>
        <tr r="AB3" s="1"/>
      </tp>
      <tp t="s">
        <v>#N/A Requesting Data...2839153296</v>
        <stp/>
        <stp>BDP|16471294606898169726</stp>
        <tr r="AB26" s="1"/>
      </tp>
      <tp t="s">
        <v>#N/A Requesting Data...2344517417</v>
        <stp/>
        <stp>BDP|10201299818758802033</stp>
        <tr r="E254" s="2"/>
      </tp>
      <tp t="s">
        <v>#N/A Requesting Data...2629696024</v>
        <stp/>
        <stp>BDP|18328370388099462107</stp>
        <tr r="Z29" s="1"/>
      </tp>
      <tp t="s">
        <v>#N/A Requesting Data...2499852733</v>
        <stp/>
        <stp>BDP|15028148465381879818</stp>
        <tr r="G142" s="2"/>
      </tp>
      <tp t="s">
        <v>#N/A Requesting Data...2509123856</v>
        <stp/>
        <stp>BDP|13860910228356149585</stp>
        <tr r="G231" s="2"/>
      </tp>
      <tp t="s">
        <v>#N/A Requesting Data...2980700669</v>
        <stp/>
        <stp>BDP|13578948469890067732</stp>
        <tr r="E447" s="2"/>
      </tp>
      <tp t="s">
        <v>#N/A Requesting Data...2416578829</v>
        <stp/>
        <stp>BDP|13243199705091790835</stp>
        <tr r="G187" s="2"/>
      </tp>
      <tp t="s">
        <v>#N/A Requesting Data...3961567642</v>
        <stp/>
        <stp>BDP|12917895626577850445</stp>
        <tr r="H342" s="2"/>
      </tp>
      <tp t="s">
        <v>#N/A Requesting Data...2082056521</v>
        <stp/>
        <stp>BDP|11863326749418164585</stp>
        <tr r="F607" s="2"/>
      </tp>
      <tp t="s">
        <v>#N/A Requesting Data...4156681609</v>
        <stp/>
        <stp>BDP|15906018934364154901</stp>
        <tr r="E189" s="2"/>
      </tp>
      <tp t="s">
        <v>#N/A Requesting Data...3138309053</v>
        <stp/>
        <stp>BDP|13446742109318769737</stp>
        <tr r="H623" s="2"/>
      </tp>
      <tp t="s">
        <v>#N/A Requesting Data...2144589161</v>
        <stp/>
        <stp>BDP|13408174238088444239</stp>
        <tr r="H393" s="2"/>
      </tp>
      <tp t="s">
        <v>#N/A Requesting Data...3062329567</v>
        <stp/>
        <stp>BDP|16606163194815999010</stp>
        <tr r="H193" s="2"/>
      </tp>
      <tp t="s">
        <v>#N/A Requesting Data...3425391434</v>
        <stp/>
        <stp>BDP|10279746911569819434</stp>
        <tr r="F399" s="2"/>
      </tp>
      <tp t="s">
        <v>#N/A Requesting Data...2369844026</v>
        <stp/>
        <stp>BDP|12183296905089730253</stp>
        <tr r="F162" s="2"/>
      </tp>
      <tp t="s">
        <v>#N/A Requesting Data...2141752858</v>
        <stp/>
        <stp>BDP|15497300638608364604</stp>
        <tr r="G516" s="2"/>
      </tp>
      <tp t="s">
        <v>#N/A Requesting Data...2801233013</v>
        <stp/>
        <stp>BDP|11123177654026872853</stp>
        <tr r="G605" s="2"/>
      </tp>
      <tp t="s">
        <v>#N/A Requesting Data...1942780666</v>
        <stp/>
        <stp>BDP|12787688191753409551</stp>
        <tr r="F327" s="2"/>
      </tp>
      <tp t="s">
        <v>#N/A Requesting Data...4251262257</v>
        <stp/>
        <stp>BDP|17139087133979639638</stp>
        <tr r="H142" s="2"/>
      </tp>
      <tp t="s">
        <v>#N/A Requesting Data...3337613704</v>
        <stp/>
        <stp>BDP|10799096886681016260</stp>
        <tr r="H214" s="2"/>
      </tp>
      <tp t="s">
        <v>#N/A Requesting Data...2128368914</v>
        <stp/>
        <stp>BDP|14308954079831732062</stp>
        <tr r="G362" s="2"/>
      </tp>
      <tp t="s">
        <v>#N/A Requesting Data...3022518379</v>
        <stp/>
        <stp>BDP|14821219402834283978</stp>
        <tr r="E304" s="2"/>
      </tp>
      <tp t="s">
        <v>#N/A Requesting Data...1992438948</v>
        <stp/>
        <stp>BDP|16684358529015137952</stp>
        <tr r="G604" s="2"/>
      </tp>
      <tp t="s">
        <v>#N/A Requesting Data...3273616291</v>
        <stp/>
        <stp>BDP|11367492492307658005</stp>
        <tr r="E386" s="2"/>
      </tp>
      <tp t="s">
        <v>#N/A Requesting Data...2997871251</v>
        <stp/>
        <stp>BDP|10605206127802960993</stp>
        <tr r="H169" s="2"/>
      </tp>
      <tp t="s">
        <v>#N/A Requesting Data...2268866854</v>
        <stp/>
        <stp>BDP|17461732609858955365</stp>
        <tr r="G256" s="2"/>
      </tp>
      <tp t="s">
        <v>#N/A Requesting Data...2621569022</v>
        <stp/>
        <stp>BDP|15496980641811826245</stp>
        <tr r="E514" s="2"/>
      </tp>
      <tp t="s">
        <v>#N/A Requesting Data...3101395955</v>
        <stp/>
        <stp>BDP|10693973211147178408</stp>
        <tr r="G408" s="2"/>
      </tp>
      <tp t="s">
        <v>#N/A Requesting Data...3759723465</v>
        <stp/>
        <stp>BDP|13271374847707607850</stp>
        <tr r="E175" s="2"/>
      </tp>
      <tp t="s">
        <v>#N/A Requesting Data...2173564322</v>
        <stp/>
        <stp>BDP|17207398092025877311</stp>
        <tr r="G520" s="2"/>
      </tp>
      <tp t="s">
        <v>#N/A Requesting Data...2754137360</v>
        <stp/>
        <stp>BDP|17127916047053589221</stp>
        <tr r="G117" s="2"/>
      </tp>
      <tp t="s">
        <v>#N/A Requesting Data...4103113980</v>
        <stp/>
        <stp>BDP|10566340639728009381</stp>
        <tr r="G320" s="2"/>
      </tp>
      <tp t="s">
        <v>#N/A Requesting Data...3020390955</v>
        <stp/>
        <stp>BDP|17078450387663012327</stp>
        <tr r="E412" s="2"/>
      </tp>
      <tp t="s">
        <v>#N/A Requesting Data...3900530230</v>
        <stp/>
        <stp>BDP|15369375430446102853</stp>
        <tr r="AB58" s="1"/>
      </tp>
      <tp t="s">
        <v>#N/A Requesting Data...2761081638</v>
        <stp/>
        <stp>BDP|12879044393129982950</stp>
        <tr r="G414" s="2"/>
      </tp>
      <tp t="s">
        <v>#N/A Requesting Data...4171949780</v>
        <stp/>
        <stp>BDP|16543738601602157857</stp>
        <tr r="AA101" s="1"/>
      </tp>
      <tp t="s">
        <v>#N/A Requesting Data...3727809961</v>
        <stp/>
        <stp>BDP|17656852434810126753</stp>
        <tr r="E356" s="2"/>
      </tp>
      <tp t="s">
        <v>#N/A Requesting Data...3719533991</v>
        <stp/>
        <stp>BDP|13814945747544956119</stp>
        <tr r="H312" s="2"/>
      </tp>
      <tp t="s">
        <v>#N/A Requesting Data...2074789552</v>
        <stp/>
        <stp>BDP|15697192023324775982</stp>
        <tr r="H389" s="2"/>
      </tp>
      <tp t="s">
        <v>#N/A Requesting Data...2533138180</v>
        <stp/>
        <stp>BDP|11898933315612422092</stp>
        <tr r="E335" s="2"/>
      </tp>
      <tp t="s">
        <v>#N/A Requesting Data...2520551371</v>
        <stp/>
        <stp>BDP|11145344027032167904</stp>
        <tr r="G49" s="2"/>
      </tp>
      <tp t="s">
        <v>#N/A Requesting Data...4257879218</v>
        <stp/>
        <stp>BDP|12795962882250403848</stp>
        <tr r="E615" s="2"/>
      </tp>
      <tp t="s">
        <v>#N/A Requesting Data...3207492214</v>
        <stp/>
        <stp>BDP|15916377799680644422</stp>
        <tr r="E248" s="2"/>
      </tp>
      <tp t="s">
        <v>#N/A Requesting Data...3033408749</v>
        <stp/>
        <stp>BDP|13023354503889539211</stp>
        <tr r="F573" s="2"/>
      </tp>
      <tp t="s">
        <v>#N/A Requesting Data...2901782846</v>
        <stp/>
        <stp>BDP|18001442706376947197</stp>
        <tr r="H402" s="2"/>
      </tp>
      <tp t="s">
        <v>#N/A Requesting Data...2452819624</v>
        <stp/>
        <stp>BDP|12791477406994458978</stp>
        <tr r="G293" s="2"/>
      </tp>
      <tp t="s">
        <v>#N/A Requesting Data...3586686335</v>
        <stp/>
        <stp>BDP|10282035866775177834</stp>
        <tr r="G295" s="2"/>
      </tp>
      <tp t="s">
        <v>#N/A Requesting Data...3156699309</v>
        <stp/>
        <stp>BDP|10142768681817246319</stp>
        <tr r="H558" s="2"/>
      </tp>
      <tp t="s">
        <v>#N/A Requesting Data...3305818405</v>
        <stp/>
        <stp>BDP|18342170986949577333</stp>
        <tr r="H107" s="2"/>
      </tp>
      <tp t="s">
        <v>#N/A Requesting Data...4008293984</v>
        <stp/>
        <stp>BDP|16704279082742060561</stp>
        <tr r="H182" s="2"/>
      </tp>
      <tp t="s">
        <v>#N/A Requesting Data...3081489603</v>
        <stp/>
        <stp>BDP|11397464902166452874</stp>
        <tr r="H239" s="2"/>
      </tp>
      <tp t="s">
        <v>#N/A Requesting Data...2184556032</v>
        <stp/>
        <stp>BDP|12541124287531674122</stp>
        <tr r="E455" s="2"/>
      </tp>
      <tp t="s">
        <v>#N/A Requesting Data...1776462231</v>
        <stp/>
        <stp>BDP|13591798847292872974</stp>
        <tr r="F527" s="2"/>
      </tp>
      <tp t="s">
        <v>#N/A Requesting Data...2506048777</v>
        <stp/>
        <stp>BDP|13425198292042983226</stp>
        <tr r="G158" s="2"/>
      </tp>
      <tp t="s">
        <v>#N/A Requesting Data...2991091328</v>
        <stp/>
        <stp>BDP|10903126849666398863</stp>
        <tr r="E7" s="2"/>
      </tp>
      <tp t="s">
        <v>#N/A Requesting Data...2900622498</v>
        <stp/>
        <stp>BDP|11284951230513979392</stp>
        <tr r="AA82" s="1"/>
      </tp>
      <tp t="s">
        <v>#N/A Requesting Data...2655136880</v>
        <stp/>
        <stp>BDP|10698718552708110135</stp>
        <tr r="G18" s="2"/>
        <tr r="G45" s="2"/>
      </tp>
      <tp t="s">
        <v>#N/A Requesting Data...3659491513</v>
        <stp/>
        <stp>BDP|18070557442410533255</stp>
        <tr r="H495" s="2"/>
      </tp>
      <tp t="s">
        <v>#N/A Requesting Data...2607321086</v>
        <stp/>
        <stp>BDP|11561465554928584353</stp>
        <tr r="H459" s="2"/>
      </tp>
      <tp t="s">
        <v>#N/A Requesting Data...2382855430</v>
        <stp/>
        <stp>BDP|11648288388142982281</stp>
        <tr r="E142" s="2"/>
      </tp>
      <tp t="s">
        <v>#N/A Requesting Data...1954656844</v>
        <stp/>
        <stp>BDP|14558295275928710282</stp>
        <tr r="H477" s="2"/>
      </tp>
      <tp t="s">
        <v>#N/A Requesting Data...3018749516</v>
        <stp/>
        <stp>BDP|12062499800475918863</stp>
        <tr r="G148" s="2"/>
      </tp>
      <tp t="s">
        <v>#N/A Requesting Data...3043353199</v>
        <stp/>
        <stp>BDP|16872119748529779101</stp>
        <tr r="H556" s="2"/>
      </tp>
      <tp t="s">
        <v>#N/A Requesting Data...2385896652</v>
        <stp/>
        <stp>BDP|11435956113400203263</stp>
        <tr r="H420" s="2"/>
      </tp>
      <tp t="s">
        <v>#N/A Requesting Data...2099631085</v>
        <stp/>
        <stp>BDP|13895956608820718146</stp>
        <tr r="E382" s="2"/>
      </tp>
      <tp t="s">
        <v>#N/A Requesting Data...2576762008</v>
        <stp/>
        <stp>BDP|14437470748598949745</stp>
        <tr r="AA91" s="1"/>
      </tp>
      <tp t="s">
        <v>#N/A Requesting Data...3149534108</v>
        <stp/>
        <stp>BDP|16503503332349732265</stp>
        <tr r="F462" s="2"/>
      </tp>
      <tp t="s">
        <v>#N/A Requesting Data...2917392314</v>
        <stp/>
        <stp>BDP|12473761021349336560</stp>
        <tr r="G489" s="2"/>
      </tp>
      <tp t="s">
        <v>#N/A Requesting Data...4127293719</v>
        <stp/>
        <stp>BDP|12677494396676090107</stp>
        <tr r="G467" s="2"/>
      </tp>
      <tp t="s">
        <v>#N/A Requesting Data...3493800225</v>
        <stp/>
        <stp>BDP|10532406926078945633</stp>
        <tr r="F538" s="2"/>
      </tp>
      <tp t="s">
        <v>#N/A Requesting Data...3444001923</v>
        <stp/>
        <stp>BDP|12380641988990076465</stp>
        <tr r="H479" s="2"/>
      </tp>
      <tp t="s">
        <v>#N/A Requesting Data...3505076857</v>
        <stp/>
        <stp>BDP|16812922313746118012</stp>
        <tr r="H261" s="2"/>
      </tp>
      <tp t="s">
        <v>#N/A Requesting Data...2799964809</v>
        <stp/>
        <stp>BDP|13135913833540865126</stp>
        <tr r="Z74" s="1"/>
      </tp>
      <tp t="s">
        <v>#N/A Requesting Data...3579955554</v>
        <stp/>
        <stp>BDP|13066768908355238942</stp>
        <tr r="G576" s="2"/>
      </tp>
      <tp t="s">
        <v>#N/A Requesting Data...2471278859</v>
        <stp/>
        <stp>BDP|14657099293821091470</stp>
        <tr r="H506" s="2"/>
      </tp>
      <tp t="s">
        <v>#N/A Requesting Data...1904095412</v>
        <stp/>
        <stp>BDP|12983029888181056389</stp>
        <tr r="E170" s="2"/>
      </tp>
      <tp t="s">
        <v>#N/A Requesting Data...2879046246</v>
        <stp/>
        <stp>BDP|13992829501587153403</stp>
        <tr r="H621" s="2"/>
      </tp>
      <tp t="s">
        <v>#N/A Requesting Data...2284507679</v>
        <stp/>
        <stp>BDP|15109610007042976955</stp>
        <tr r="F195" s="2"/>
      </tp>
      <tp t="s">
        <v>#N/A Requesting Data...2591803494</v>
        <stp/>
        <stp>BDP|15244412263398379782</stp>
        <tr r="G477" s="2"/>
      </tp>
      <tp t="s">
        <v>#N/A Requesting Data...1960803815</v>
        <stp/>
        <stp>BDP|13588338385209994903</stp>
        <tr r="F394" s="2"/>
      </tp>
      <tp t="s">
        <v>#N/A Requesting Data...3698920760</v>
        <stp/>
        <stp>BDP|12026308746698861544</stp>
        <tr r="H267" s="2"/>
      </tp>
      <tp t="s">
        <v>#N/A Requesting Data...3271814219</v>
        <stp/>
        <stp>BDP|12683048445789835755</stp>
        <tr r="H533" s="2"/>
      </tp>
      <tp t="s">
        <v>#N/A Requesting Data...3657385654</v>
        <stp/>
        <stp>BDP|11883847389450737989</stp>
        <tr r="E109" s="2"/>
      </tp>
      <tp t="s">
        <v>#N/A Requesting Data...3510491689</v>
        <stp/>
        <stp>BDP|17443963275115993449</stp>
        <tr r="G324" s="2"/>
      </tp>
      <tp t="s">
        <v>#N/A Requesting Data...2100387006</v>
        <stp/>
        <stp>BDP|17935715626969745346</stp>
        <tr r="H423" s="2"/>
      </tp>
      <tp t="s">
        <v>#N/A Requesting Data...2469608719</v>
        <stp/>
        <stp>BDP|10759926548080579558</stp>
        <tr r="H289" s="2"/>
      </tp>
      <tp t="s">
        <v>#N/A Requesting Data...2861140210</v>
        <stp/>
        <stp>BDP|10356927718617780726</stp>
        <tr r="G144" s="2"/>
      </tp>
      <tp t="s">
        <v>#N/A Requesting Data...4055913160</v>
        <stp/>
        <stp>BDP|17802505574899078405</stp>
        <tr r="H301" s="2"/>
      </tp>
      <tp t="s">
        <v>#N/A Requesting Data...2009415870</v>
        <stp/>
        <stp>BDP|14711555177179926709</stp>
        <tr r="F206" s="2"/>
      </tp>
      <tp t="s">
        <v>#N/A Requesting Data...1943793590</v>
        <stp/>
        <stp>BDP|15532674757636903803</stp>
        <tr r="F160" s="2"/>
      </tp>
      <tp t="s">
        <v>#N/A Requesting Data...4158022492</v>
        <stp/>
        <stp>BDP|17344325463133660987</stp>
        <tr r="E173" s="2"/>
      </tp>
      <tp t="s">
        <v>#N/A Requesting Data...3697610727</v>
        <stp/>
        <stp>BDP|14911917819546420294</stp>
        <tr r="AA87" s="1"/>
      </tp>
      <tp t="s">
        <v>#N/A Requesting Data...2234300581</v>
        <stp/>
        <stp>BDP|16772179884572372583</stp>
        <tr r="H572" s="2"/>
      </tp>
      <tp t="s">
        <v>#N/A Requesting Data...1957392919</v>
        <stp/>
        <stp>BDP|16115854252362805114</stp>
        <tr r="H481" s="2"/>
      </tp>
      <tp t="s">
        <v>#N/A Requesting Data...3244083691</v>
        <stp/>
        <stp>BDP|15808218025955317801</stp>
        <tr r="H321" s="2"/>
      </tp>
      <tp t="s">
        <v>#N/A Requesting Data...3468428466</v>
        <stp/>
        <stp>BDP|11551891163434570357</stp>
        <tr r="AA89" s="1"/>
      </tp>
      <tp t="s">
        <v>#N/A Requesting Data...2588294158</v>
        <stp/>
        <stp>BDP|14877340385680113776</stp>
        <tr r="F418" s="2"/>
      </tp>
      <tp t="s">
        <v>#N/A Requesting Data...2764855962</v>
        <stp/>
        <stp>BDP|10936718789766648195</stp>
        <tr r="E164" s="2"/>
      </tp>
      <tp t="s">
        <v>#N/A Requesting Data...4257568977</v>
        <stp/>
        <stp>BDP|11661010388391025015</stp>
        <tr r="G553" s="2"/>
      </tp>
      <tp t="s">
        <v>#N/A Requesting Data...4167679387</v>
        <stp/>
        <stp>BDP|12620151587334359793</stp>
        <tr r="G583" s="2"/>
      </tp>
      <tp t="s">
        <v>#N/A Requesting Data...3222459580</v>
        <stp/>
        <stp>BDP|15340838738430255649</stp>
        <tr r="E233" s="2"/>
      </tp>
      <tp t="s">
        <v>#N/A Requesting Data...2643292271</v>
        <stp/>
        <stp>BDP|16841630599584610559</stp>
        <tr r="G390" s="2"/>
      </tp>
      <tp t="s">
        <v>#N/A Requesting Data...2284069892</v>
        <stp/>
        <stp>BDP|17358221885824406114</stp>
        <tr r="H537" s="2"/>
      </tp>
      <tp t="s">
        <v>#N/A Requesting Data...4249985333</v>
        <stp/>
        <stp>BDP|12893242633323714895</stp>
        <tr r="H392" s="2"/>
      </tp>
      <tp t="s">
        <v>#N/A Requesting Data...2752680318</v>
        <stp/>
        <stp>BDP|16249441641097548930</stp>
        <tr r="F546" s="2"/>
      </tp>
      <tp t="s">
        <v>#N/A Requesting Data...2874081156</v>
        <stp/>
        <stp>BDP|17152425120039799058</stp>
        <tr r="G471" s="2"/>
      </tp>
      <tp t="s">
        <v>#N/A Requesting Data...2470815866</v>
        <stp/>
        <stp>BDP|15237518796487289666</stp>
        <tr r="H25" s="2"/>
      </tp>
      <tp t="s">
        <v>#N/A Requesting Data...3960912373</v>
        <stp/>
        <stp>BDP|14381956795055554962</stp>
        <tr r="F78" s="2"/>
      </tp>
      <tp t="s">
        <v>#N/A Requesting Data...2331881587</v>
        <stp/>
        <stp>BDP|14444914662613052071</stp>
        <tr r="G579" s="2"/>
      </tp>
      <tp t="s">
        <v>#N/A Requesting Data...4186962033</v>
        <stp/>
        <stp>BDP|17097101540193590950</stp>
        <tr r="E201" s="2"/>
      </tp>
      <tp t="s">
        <v>#N/A Requesting Data...2785442649</v>
        <stp/>
        <stp>BDP|16617134799401847742</stp>
        <tr r="E467" s="2"/>
      </tp>
      <tp t="s">
        <v>#N/A Requesting Data...4087953042</v>
        <stp/>
        <stp>BDP|16712729930192433821</stp>
        <tr r="G614" s="2"/>
      </tp>
      <tp t="s">
        <v>#N/A Requesting Data...3810134513</v>
        <stp/>
        <stp>BDP|17509347674962756912</stp>
        <tr r="F591" s="2"/>
      </tp>
      <tp t="s">
        <v>#N/A Requesting Data...2665396927</v>
        <stp/>
        <stp>BDP|12506175180315109601</stp>
        <tr r="F342" s="2"/>
      </tp>
      <tp t="s">
        <v>#N/A Requesting Data...4004263340</v>
        <stp/>
        <stp>BDP|13433555933615856893</stp>
        <tr r="F572" s="2"/>
      </tp>
      <tp t="s">
        <v>#N/A Requesting Data...4211134173</v>
        <stp/>
        <stp>BDP|17871974349031621334</stp>
        <tr r="E593" s="2"/>
      </tp>
      <tp t="s">
        <v>#N/A Requesting Data...2775598708</v>
        <stp/>
        <stp>BDP|15731426690828061875</stp>
        <tr r="AB101" s="1"/>
      </tp>
      <tp t="s">
        <v>#N/A Requesting Data...1848086029</v>
        <stp/>
        <stp>BDP|11292548526036086827</stp>
        <tr r="E424" s="2"/>
      </tp>
      <tp t="s">
        <v>#N/A Requesting Data...3007080960</v>
        <stp/>
        <stp>BDP|15706974351287214615</stp>
        <tr r="E310" s="2"/>
      </tp>
      <tp t="s">
        <v>#N/A Requesting Data...3231077146</v>
        <stp/>
        <stp>BDP|16683915925233993694</stp>
        <tr r="H489" s="2"/>
      </tp>
      <tp t="s">
        <v>#N/A Requesting Data...3953372579</v>
        <stp/>
        <stp>BDP|11114259986825374636</stp>
        <tr r="E388" s="2"/>
      </tp>
      <tp t="s">
        <v>#N/A Requesting Data...2889453613</v>
        <stp/>
        <stp>BDP|12332245584714944485</stp>
        <tr r="H90" s="2"/>
      </tp>
      <tp t="s">
        <v>#N/A Requesting Data...1940820498</v>
        <stp/>
        <stp>BDP|16319425992470835397</stp>
        <tr r="E124" s="2"/>
      </tp>
      <tp t="s">
        <v>#N/A Requesting Data...2984810725</v>
        <stp/>
        <stp>BDP|15552794916258604399</stp>
        <tr r="Z103" s="1"/>
      </tp>
      <tp t="s">
        <v>#N/A Requesting Data...3090224860</v>
        <stp/>
        <stp>BDP|17574643721343298871</stp>
        <tr r="H67" s="2"/>
      </tp>
      <tp t="s">
        <v>#N/A Requesting Data...3228594042</v>
        <stp/>
        <stp>BDP|17922717417361989839</stp>
        <tr r="E195" s="2"/>
      </tp>
      <tp t="s">
        <v>#N/A Requesting Data...3712741457</v>
        <stp/>
        <stp>BDP|10359828586701587975</stp>
        <tr r="H50" s="2"/>
      </tp>
      <tp t="s">
        <v>#N/A Requesting Data...3577152417</v>
        <stp/>
        <stp>BDP|18302544887788654533</stp>
        <tr r="F456" s="2"/>
      </tp>
      <tp t="s">
        <v>#N/A Requesting Data...1966279737</v>
        <stp/>
        <stp>BDP|14957784766599400460</stp>
        <tr r="F465" s="2"/>
      </tp>
      <tp t="s">
        <v>#N/A Requesting Data...4131331481</v>
        <stp/>
        <stp>BDP|15962750645117864952</stp>
        <tr r="AB24" s="1"/>
      </tp>
      <tp t="s">
        <v>#N/A Requesting Data...1841294511</v>
        <stp/>
        <stp>BDP|15495505392590076115</stp>
        <tr r="F235" s="2"/>
      </tp>
      <tp t="s">
        <v>#N/A Requesting Data...2858788310</v>
        <stp/>
        <stp>BDP|10698942406340115127</stp>
        <tr r="F205" s="2"/>
      </tp>
      <tp t="s">
        <v>#N/A Requesting Data...3016206698</v>
        <stp/>
        <stp>BDP|12071640814524066979</stp>
        <tr r="F90" s="2"/>
      </tp>
      <tp t="s">
        <v>#N/A Requesting Data...2670429141</v>
        <stp/>
        <stp>BDP|10928877576751915660</stp>
        <tr r="H487" s="2"/>
      </tp>
      <tp t="s">
        <v>#N/A Requesting Data...3852426902</v>
        <stp/>
        <stp>BDP|17211743072738427776</stp>
        <tr r="F251" s="2"/>
      </tp>
      <tp t="s">
        <v>#N/A Requesting Data...2564745765</v>
        <stp/>
        <stp>BDP|15867717780520630282</stp>
        <tr r="E263" s="2"/>
      </tp>
      <tp t="s">
        <v>#N/A Requesting Data...3922599777</v>
        <stp/>
        <stp>BDP|15451555262528598607</stp>
        <tr r="H36" s="2"/>
      </tp>
      <tp t="s">
        <v>#N/A Requesting Data...3188880031</v>
        <stp/>
        <stp>BDP|14162185743961508891</stp>
        <tr r="G535" s="2"/>
      </tp>
      <tp t="s">
        <v>#N/A Requesting Data...3215716041</v>
        <stp/>
        <stp>BDP|18328361926872203370</stp>
        <tr r="G237" s="2"/>
      </tp>
      <tp t="s">
        <v>#N/A Requesting Data...2586962510</v>
        <stp/>
        <stp>BDP|17608679812641158947</stp>
        <tr r="F549" s="2"/>
      </tp>
      <tp t="s">
        <v>#N/A Requesting Data...3931504335</v>
        <stp/>
        <stp>BDP|16839581998792661083</stp>
        <tr r="H445" s="2"/>
      </tp>
      <tp t="s">
        <v>#N/A Requesting Data...3784735310</v>
        <stp/>
        <stp>BDP|11039556315218690508</stp>
        <tr r="G495" s="2"/>
      </tp>
      <tp t="s">
        <v>#N/A Requesting Data...2255949631</v>
        <stp/>
        <stp>BDP|12488906749472775437</stp>
        <tr r="E54" s="2"/>
      </tp>
      <tp t="s">
        <v>#N/A Requesting Data...1862650311</v>
        <stp/>
        <stp>BDP|17111250578642392967</stp>
        <tr r="F161" s="2"/>
      </tp>
      <tp t="s">
        <v>#N/A Requesting Data...1938587480</v>
        <stp/>
        <stp>BDP|18014897385126367768</stp>
        <tr r="G462" s="2"/>
      </tp>
      <tp t="s">
        <v>#N/A Requesting Data...4231336320</v>
        <stp/>
        <stp>BDP|14491809048841497019</stp>
        <tr r="G510" s="2"/>
      </tp>
      <tp t="s">
        <v>#N/A Requesting Data...3936423947</v>
        <stp/>
        <stp>BDP|11047820619801198028</stp>
        <tr r="H509" s="2"/>
      </tp>
      <tp t="s">
        <v>#N/A Requesting Data...4003411564</v>
        <stp/>
        <stp>BDP|12217126371134825919</stp>
        <tr r="F412" s="2"/>
      </tp>
      <tp t="s">
        <v>#N/A Requesting Data...4088323638</v>
        <stp/>
        <stp>BDP|17717477889382341023</stp>
        <tr r="G316" s="2"/>
      </tp>
      <tp t="s">
        <v>#N/A Requesting Data...3717752284</v>
        <stp/>
        <stp>BDP|15192659488915519719</stp>
        <tr r="AB57" s="1"/>
      </tp>
      <tp t="s">
        <v>#N/A Requesting Data...3149101557</v>
        <stp/>
        <stp>BDP|10932967758445828073</stp>
        <tr r="H297" s="2"/>
      </tp>
      <tp t="s">
        <v>#N/A Requesting Data...3348783082</v>
        <stp/>
        <stp>BDP|16494162902229093787</stp>
        <tr r="E291" s="2"/>
      </tp>
      <tp t="s">
        <v>#N/A Requesting Data...4247107719</v>
        <stp/>
        <stp>BDP|13438841427663952365</stp>
        <tr r="F163" s="2"/>
      </tp>
      <tp t="s">
        <v>#N/A Requesting Data...3515444642</v>
        <stp/>
        <stp>BDP|11852184129018189333</stp>
        <tr r="H410" s="2"/>
      </tp>
      <tp t="s">
        <v>#N/A Requesting Data...3956782782</v>
        <stp/>
        <stp>BDP|11908868583279525127</stp>
        <tr r="F149" s="2"/>
      </tp>
      <tp t="s">
        <v>#N/A Requesting Data...2166328370</v>
        <stp/>
        <stp>BDP|13911023557877015876</stp>
        <tr r="H97" s="2"/>
      </tp>
      <tp t="s">
        <v>#N/A Requesting Data...3786937439</v>
        <stp/>
        <stp>BDP|11201975039785762719</stp>
        <tr r="G515" s="2"/>
      </tp>
      <tp t="s">
        <v>#N/A Requesting Data...3238699037</v>
        <stp/>
        <stp>BDP|11736419209405642936</stp>
        <tr r="H371" s="2"/>
      </tp>
      <tp t="s">
        <v>#N/A Requesting Data...1901956777</v>
        <stp/>
        <stp>BDP|14270656041319462684</stp>
        <tr r="F606" s="2"/>
      </tp>
      <tp t="s">
        <v>#N/A Requesting Data...2048536524</v>
        <stp/>
        <stp>BDP|14399136988594348019</stp>
        <tr r="H431" s="2"/>
      </tp>
      <tp t="s">
        <v>#N/A Requesting Data...3688732879</v>
        <stp/>
        <stp>BDP|12966117595075106666</stp>
        <tr r="E317" s="2"/>
      </tp>
      <tp t="s">
        <v>#N/A Requesting Data...3477682880</v>
        <stp/>
        <stp>BDP|11732215525370923801</stp>
        <tr r="AA80" s="1"/>
      </tp>
      <tp t="s">
        <v>#N/A Requesting Data...3078068922</v>
        <stp/>
        <stp>BDP|16731803429710637520</stp>
        <tr r="H534" s="2"/>
      </tp>
      <tp t="s">
        <v>#N/A Requesting Data...3854029745</v>
        <stp/>
        <stp>BDP|10886195544149140591</stp>
        <tr r="H387" s="2"/>
      </tp>
      <tp t="s">
        <v>#N/A Requesting Data...3406025641</v>
        <stp/>
        <stp>BDP|12097869539086588675</stp>
        <tr r="G165" s="2"/>
      </tp>
      <tp t="s">
        <v>#N/A Requesting Data...2210623962</v>
        <stp/>
        <stp>BDP|11825067586099079952</stp>
        <tr r="E71" s="2"/>
      </tp>
      <tp t="s">
        <v>#N/A Requesting Data...2629302910</v>
        <stp/>
        <stp>BDP|13340641758691203807</stp>
        <tr r="F117" s="2"/>
      </tp>
      <tp t="s">
        <v>#N/A Requesting Data...3412307376</v>
        <stp/>
        <stp>BDP|10691975009065750535</stp>
        <tr r="E67" s="2"/>
      </tp>
      <tp t="s">
        <v>#N/A Requesting Data...3938753665</v>
        <stp/>
        <stp>BDP|14898321000928558636</stp>
        <tr r="F153" s="2"/>
      </tp>
      <tp t="s">
        <v>#N/A Requesting Data...1978692035</v>
        <stp/>
        <stp>BDP|10441305786505669782</stp>
        <tr r="Z5" s="1"/>
      </tp>
      <tp t="s">
        <v>#N/A Requesting Data...4190083923</v>
        <stp/>
        <stp>BDP|15069456887789733994</stp>
        <tr r="H333" s="2"/>
      </tp>
      <tp t="s">
        <v>#N/A Requesting Data...4247090226</v>
        <stp/>
        <stp>BDP|17643753561917801869</stp>
        <tr r="F115" s="2"/>
      </tp>
      <tp t="s">
        <v>#N/A Requesting Data...3049595919</v>
        <stp/>
        <stp>BDP|12414377697666917717</stp>
        <tr r="E259" s="2"/>
      </tp>
      <tp t="s">
        <v>#N/A Requesting Data...2955527524</v>
        <stp/>
        <stp>BDP|13060910083168968374</stp>
        <tr r="E440" s="2"/>
      </tp>
      <tp t="s">
        <v>#N/A Requesting Data...2054743166</v>
        <stp/>
        <stp>BDP|10179711748198367275</stp>
        <tr r="E349" s="2"/>
      </tp>
      <tp t="s">
        <v>#N/A Requesting Data...3800766289</v>
        <stp/>
        <stp>BDP|16029273888460783577</stp>
        <tr r="F437" s="2"/>
      </tp>
      <tp t="s">
        <v>#N/A Requesting Data...1963585002</v>
        <stp/>
        <stp>BDP|12021683373259539319</stp>
        <tr r="H578" s="2"/>
      </tp>
      <tp t="s">
        <v>#N/A Requesting Data...2008686598</v>
        <stp/>
        <stp>BDP|14119942637383803452</stp>
        <tr r="AA76" s="1"/>
      </tp>
      <tp t="s">
        <v>#N/A Requesting Data...2406560266</v>
        <stp/>
        <stp>BDP|12648701371899835214</stp>
        <tr r="E461" s="2"/>
      </tp>
      <tp t="s">
        <v>#N/A Requesting Data...2075678825</v>
        <stp/>
        <stp>BDP|12108858481729270291</stp>
        <tr r="H85" s="2"/>
      </tp>
      <tp t="s">
        <v>#N/A Requesting Data...2945470975</v>
        <stp/>
        <stp>BDP|12223897914555130700</stp>
        <tr r="H586" s="2"/>
      </tp>
      <tp t="s">
        <v>#N/A Requesting Data...2488938751</v>
        <stp/>
        <stp>BDP|13812403240638143273</stp>
        <tr r="E359" s="2"/>
      </tp>
      <tp t="s">
        <v>#N/A Requesting Data...3203923923</v>
        <stp/>
        <stp>BDP|16244761058545057820</stp>
        <tr r="F156" s="2"/>
      </tp>
      <tp t="s">
        <v>#N/A Requesting Data...4204864953</v>
        <stp/>
        <stp>BDP|16855556188421371384</stp>
        <tr r="H117" s="2"/>
      </tp>
      <tp t="s">
        <v>#N/A Requesting Data...3412157600</v>
        <stp/>
        <stp>BDP|14163636884824362741</stp>
        <tr r="AB70" s="1"/>
      </tp>
      <tp t="s">
        <v>#N/A Requesting Data...3789691306</v>
        <stp/>
        <stp>BDP|15229460894703544247</stp>
        <tr r="AB18" s="1"/>
      </tp>
      <tp t="s">
        <v>#N/A Requesting Data...2424951095</v>
        <stp/>
        <stp>BDP|10691316809953867975</stp>
        <tr r="E361" s="2"/>
      </tp>
      <tp t="s">
        <v>#N/A Requesting Data...2423791734</v>
        <stp/>
        <stp>BDP|13525240578897968819</stp>
        <tr r="E581" s="2"/>
      </tp>
      <tp t="s">
        <v>#N/A Requesting Data...3316963345</v>
        <stp/>
        <stp>BDP|14050867283819363467</stp>
        <tr r="G344" s="2"/>
      </tp>
      <tp t="s">
        <v>#N/A Requesting Data...2630598604</v>
        <stp/>
        <stp>BDP|11787639738598552599</stp>
        <tr r="G180" s="2"/>
      </tp>
      <tp t="s">
        <v>#N/A Requesting Data...2957290905</v>
        <stp/>
        <stp>BDP|12522872160484250109</stp>
        <tr r="AB41" s="1"/>
      </tp>
      <tp t="s">
        <v>#N/A Requesting Data...2601182000</v>
        <stp/>
        <stp>BDP|13854204388839621964</stp>
        <tr r="G181" s="2"/>
      </tp>
      <tp t="s">
        <v>#N/A Requesting Data...4228735253</v>
        <stp/>
        <stp>BDP|12262147317018700361</stp>
        <tr r="F402" s="2"/>
      </tp>
      <tp t="s">
        <v>#N/A Requesting Data...2786214347</v>
        <stp/>
        <stp>BDP|13432455282342536466</stp>
        <tr r="E301" s="2"/>
      </tp>
      <tp t="s">
        <v>#N/A Requesting Data...1931467931</v>
        <stp/>
        <stp>BDP|12673415992760491624</stp>
        <tr r="G6" s="2"/>
      </tp>
      <tp t="s">
        <v>#N/A Requesting Data...3918166897</v>
        <stp/>
        <stp>BDP|17160244260062409822</stp>
        <tr r="H31" s="2"/>
      </tp>
      <tp t="s">
        <v>#N/A Requesting Data...2012809734</v>
        <stp/>
        <stp>BDP|12363623901419642453</stp>
        <tr r="F348" s="2"/>
      </tp>
      <tp t="s">
        <v>#N/A Requesting Data...4115069506</v>
        <stp/>
        <stp>BDP|15105106032118882689</stp>
        <tr r="E133" s="2"/>
      </tp>
      <tp t="s">
        <v>#N/A Requesting Data...2736338117</v>
        <stp/>
        <stp>BDP|10281840614942610276</stp>
        <tr r="H447" s="2"/>
      </tp>
      <tp t="s">
        <v>#N/A Requesting Data...2847067816</v>
        <stp/>
        <stp>BDP|13418279984682081242</stp>
        <tr r="E623" s="2"/>
      </tp>
      <tp t="s">
        <v>#N/A Requesting Data...2849692880</v>
        <stp/>
        <stp>BDP|17964666787866946637</stp>
        <tr r="G174" s="2"/>
      </tp>
      <tp t="s">
        <v>#N/A Requesting Data...2618280764</v>
        <stp/>
        <stp>BDP|16071862442197449429</stp>
        <tr r="G578" s="2"/>
      </tp>
      <tp t="s">
        <v>#N/A Requesting Data...3093574928</v>
        <stp/>
        <stp>BDP|16005703983629796961</stp>
        <tr r="F595" s="2"/>
      </tp>
      <tp t="s">
        <v>#N/A Requesting Data...3929724256</v>
        <stp/>
        <stp>BDP|12494780324029322798</stp>
        <tr r="F159" s="2"/>
      </tp>
      <tp t="s">
        <v>#N/A Requesting Data...1966315305</v>
        <stp/>
        <stp>BDP|17155256591381126460</stp>
        <tr r="E160" s="2"/>
      </tp>
      <tp t="s">
        <v>#N/A Requesting Data...3931417298</v>
        <stp/>
        <stp>BDP|17742956824435257063</stp>
        <tr r="G595" s="2"/>
      </tp>
      <tp t="s">
        <v>#N/A Requesting Data...3495589195</v>
        <stp/>
        <stp>BDP|12773341131728765371</stp>
        <tr r="G597" s="2"/>
      </tp>
      <tp t="s">
        <v>#N/A Requesting Data...2765222882</v>
        <stp/>
        <stp>BDP|10261485960028178392</stp>
        <tr r="G138" s="2"/>
      </tp>
      <tp t="s">
        <v>#N/A Requesting Data...2149506529</v>
        <stp/>
        <stp>BDP|12229490488727064017</stp>
        <tr r="G168" s="2"/>
      </tp>
      <tp t="s">
        <v>#N/A Requesting Data...2496659592</v>
        <stp/>
        <stp>BDP|12333863992238292201</stp>
        <tr r="E262" s="2"/>
      </tp>
      <tp t="s">
        <v>#N/A Requesting Data...3437972199</v>
        <stp/>
        <stp>BDP|16174046994107376179</stp>
        <tr r="G28" s="2"/>
      </tp>
      <tp t="s">
        <v>#N/A Requesting Data...4193371549</v>
        <stp/>
        <stp>BDP|16764855157535267727</stp>
        <tr r="H570" s="2"/>
      </tp>
      <tp t="s">
        <v>#N/A Requesting Data...2466157655</v>
        <stp/>
        <stp>BDP|15545015124607386969</stp>
        <tr r="H480" s="2"/>
      </tp>
      <tp t="s">
        <v>#N/A Requesting Data...2115816622</v>
        <stp/>
        <stp>BDP|12139958930841215029</stp>
        <tr r="H243" s="2"/>
      </tp>
      <tp t="s">
        <v>#N/A Requesting Data...4185827271</v>
        <stp/>
        <stp>BDP|10634031260377994880</stp>
        <tr r="G418" s="2"/>
      </tp>
      <tp t="s">
        <v>#N/A Requesting Data...2075396390</v>
        <stp/>
        <stp>BDP|16766790955194708988</stp>
        <tr r="E613" s="2"/>
      </tp>
      <tp t="s">
        <v>#N/A Requesting Data...2643318219</v>
        <stp/>
        <stp>BDP|16511191099621705668</stp>
        <tr r="F324" s="2"/>
      </tp>
      <tp t="s">
        <v>#N/A Requesting Data...2212702600</v>
        <stp/>
        <stp>BDP|14116623212263736922</stp>
        <tr r="F249" s="2"/>
      </tp>
      <tp t="s">
        <v>#N/A Requesting Data...3880505944</v>
        <stp/>
        <stp>BDP|10693817816235230544</stp>
        <tr r="H416" s="2"/>
      </tp>
      <tp t="s">
        <v>#N/A Requesting Data...1973605002</v>
        <stp/>
        <stp>BDP|12479918172442269726</stp>
        <tr r="F25" s="2"/>
      </tp>
      <tp t="s">
        <v>#N/A Requesting Data...3650374607</v>
        <stp/>
        <stp>BDP|12212855932377439769</stp>
        <tr r="H541" s="2"/>
      </tp>
      <tp t="s">
        <v>#N/A Requesting Data...3715103686</v>
        <stp/>
        <stp>BDP|12473193489916174426</stp>
        <tr r="AA14" s="1"/>
      </tp>
      <tp t="s">
        <v>#N/A Requesting Data...3244720234</v>
        <stp/>
        <stp>BDP|14114479372848061632</stp>
        <tr r="F366" s="2"/>
      </tp>
      <tp t="s">
        <v>#N/A Requesting Data...3682051395</v>
        <stp/>
        <stp>BDP|13660379185938683947</stp>
        <tr r="AB6" s="1"/>
      </tp>
      <tp t="s">
        <v>#N/A Requesting Data...2989542174</v>
        <stp/>
        <stp>BDP|11868083353314787928</stp>
        <tr r="H346" s="2"/>
      </tp>
      <tp t="s">
        <v>#N/A Requesting Data...2355081184</v>
        <stp/>
        <stp>BDP|10012029317708849744</stp>
        <tr r="G99" s="2"/>
      </tp>
      <tp t="s">
        <v>#N/A Requesting Data...2601893156</v>
        <stp/>
        <stp>BDP|12268993432163689560</stp>
        <tr r="H430" s="2"/>
      </tp>
      <tp t="s">
        <v>#N/A Requesting Data...3442704695</v>
        <stp/>
        <stp>BDP|10569936538845661102</stp>
        <tr r="E616" s="2"/>
      </tp>
      <tp t="s">
        <v>#N/A Requesting Data...3307410272</v>
        <stp/>
        <stp>BDP|16892161271388127669</stp>
        <tr r="G479" s="2"/>
      </tp>
      <tp t="s">
        <v>#N/A Requesting Data...2797209610</v>
        <stp/>
        <stp>BDP|14298722892711840512</stp>
        <tr r="Z24" s="1"/>
      </tp>
      <tp t="s">
        <v>#N/A Requesting Data...2091317616</v>
        <stp/>
        <stp>BDP|15229761777918927311</stp>
        <tr r="G619" s="2"/>
      </tp>
      <tp t="s">
        <v>#N/A Requesting Data...1983685102</v>
        <stp/>
        <stp>BDP|11138444674358954439</stp>
        <tr r="G415" s="2"/>
      </tp>
      <tp t="s">
        <v>#N/A Requesting Data...2378965055</v>
        <stp/>
        <stp>BDP|14343336884122833378</stp>
        <tr r="F605" s="2"/>
      </tp>
      <tp t="s">
        <v>#N/A Requesting Data...4135744162</v>
        <stp/>
        <stp>BDP|15928735538266959903</stp>
        <tr r="H569" s="2"/>
      </tp>
      <tp t="s">
        <v>#N/A Requesting Data...4261801075</v>
        <stp/>
        <stp>BDP|11890196899826623157</stp>
        <tr r="H538" s="2"/>
      </tp>
      <tp t="s">
        <v>#N/A Requesting Data...2542954477</v>
        <stp/>
        <stp>BDP|15746620070003875964</stp>
        <tr r="H98" s="2"/>
      </tp>
      <tp t="s">
        <v>#N/A Requesting Data...2074349036</v>
        <stp/>
        <stp>BDP|12471887442319606937</stp>
        <tr r="H210" s="2"/>
      </tp>
      <tp t="s">
        <v>#N/A Requesting Data...2216897184</v>
        <stp/>
        <stp>BDP|10877963622743286644</stp>
        <tr r="H288" s="2"/>
      </tp>
      <tp t="s">
        <v>#N/A Requesting Data...3830514025</v>
        <stp/>
        <stp>BDP|13715055395921323594</stp>
        <tr r="F317" s="2"/>
      </tp>
      <tp t="s">
        <v>#N/A Requesting Data...3865497489</v>
        <stp/>
        <stp>BDP|16696887522211110300</stp>
        <tr r="H209" s="2"/>
      </tp>
      <tp t="s">
        <v>#N/A Requesting Data...2546265510</v>
        <stp/>
        <stp>BDP|17083616292390686687</stp>
        <tr r="E470" s="2"/>
      </tp>
      <tp t="s">
        <v>#N/A Requesting Data...3620504419</v>
        <stp/>
        <stp>BDP|12848635961494762802</stp>
        <tr r="H299" s="2"/>
      </tp>
      <tp t="s">
        <v>#N/A Requesting Data...2186647485</v>
        <stp/>
        <stp>BDP|15239912823933897354</stp>
        <tr r="F24" s="2"/>
      </tp>
      <tp t="s">
        <v>#N/A Requesting Data...2632024166</v>
        <stp/>
        <stp>BDP|17657456086234175193</stp>
        <tr r="F331" s="2"/>
      </tp>
      <tp t="s">
        <v>#N/A Requesting Data...4248829992</v>
        <stp/>
        <stp>BDP|18362695602358386877</stp>
        <tr r="AA97" s="1"/>
      </tp>
      <tp t="s">
        <v>#N/A Requesting Data...2651697942</v>
        <stp/>
        <stp>BDP|10859750770947132902</stp>
        <tr r="E14" s="2"/>
      </tp>
      <tp t="s">
        <v>#N/A Requesting Data...1981058917</v>
        <stp/>
        <stp>BDP|12722320927895836868</stp>
        <tr r="G43" s="2"/>
      </tp>
      <tp t="s">
        <v>#N/A Requesting Data...3437189131</v>
        <stp/>
        <stp>BDP|15642896103121856286</stp>
        <tr r="H300" s="2"/>
      </tp>
      <tp t="s">
        <v>#N/A Requesting Data...2327057646</v>
        <stp/>
        <stp>BDP|11008451091710849238</stp>
        <tr r="H71" s="2"/>
      </tp>
      <tp t="s">
        <v>#N/A Requesting Data...3354241021</v>
        <stp/>
        <stp>BDP|10903723460289179657</stp>
        <tr r="H95" s="2"/>
      </tp>
      <tp t="s">
        <v>#N/A Requesting Data...4102081855</v>
        <stp/>
        <stp>BDP|17097984859235606094</stp>
        <tr r="E47" s="2"/>
      </tp>
      <tp t="s">
        <v>#N/A Requesting Data...3906381379</v>
        <stp/>
        <stp>BDP|10864810263990046042</stp>
        <tr r="E35" s="2"/>
      </tp>
      <tp t="s">
        <v>#N/A Requesting Data...2953359655</v>
        <stp/>
        <stp>BDP|13707257399616429010</stp>
        <tr r="F274" s="2"/>
      </tp>
      <tp t="s">
        <v>#N/A Requesting Data...3090712089</v>
        <stp/>
        <stp>BDP|14943648995822529735</stp>
        <tr r="F432" s="2"/>
      </tp>
      <tp t="s">
        <v>#N/A Requesting Data...3932364868</v>
        <stp/>
        <stp>BDP|10098281891445129095</stp>
        <tr r="F344" s="2"/>
      </tp>
      <tp t="s">
        <v>#N/A Requesting Data...3740725633</v>
        <stp/>
        <stp>BDP|13641706403918261264</stp>
        <tr r="H230" s="2"/>
      </tp>
      <tp t="s">
        <v>#N/A Requesting Data...2342962637</v>
        <stp/>
        <stp>BDP|12258107112669690573</stp>
        <tr r="E12" s="2"/>
      </tp>
      <tp t="s">
        <v>#N/A Requesting Data...3408770132</v>
        <stp/>
        <stp>BDP|13702607616553470947</stp>
        <tr r="H546" s="2"/>
      </tp>
      <tp t="s">
        <v>#N/A Requesting Data...3864952421</v>
        <stp/>
        <stp>BDP|17045043388556526781</stp>
        <tr r="F216" s="2"/>
      </tp>
      <tp t="s">
        <v>#N/A Requesting Data...3128811438</v>
        <stp/>
        <stp>BDP|15790045799803225197</stp>
        <tr r="G429" s="2"/>
      </tp>
      <tp t="s">
        <v>#N/A Requesting Data...2449249425</v>
        <stp/>
        <stp>BDP|12387038128257968904</stp>
        <tr r="G39" s="2"/>
      </tp>
      <tp t="s">
        <v>#N/A Requesting Data...3024260497</v>
        <stp/>
        <stp>BDP|17937022996051829144</stp>
        <tr r="G42" s="2"/>
      </tp>
      <tp t="s">
        <v>#N/A Requesting Data...2785221578</v>
        <stp/>
        <stp>BDP|18284618703765699578</stp>
        <tr r="H601" s="2"/>
      </tp>
      <tp t="s">
        <v>#N/A Requesting Data...3275879155</v>
        <stp/>
        <stp>BDP|12224497038629040222</stp>
        <tr r="H168" s="2"/>
      </tp>
      <tp t="s">
        <v>#N/A Requesting Data...2097550588</v>
        <stp/>
        <stp>BDP|11269524991292697173</stp>
        <tr r="F443" s="2"/>
      </tp>
      <tp t="s">
        <v>#N/A Requesting Data...3083236760</v>
        <stp/>
        <stp>BDP|12300694338488080122</stp>
        <tr r="G234" s="2"/>
      </tp>
      <tp t="s">
        <v>#N/A Requesting Data...3637401316</v>
        <stp/>
        <stp>BDP|11829411364525892858</stp>
        <tr r="AB63" s="1"/>
      </tp>
      <tp t="s">
        <v>#N/A Requesting Data...2065666133</v>
        <stp/>
        <stp>BDP|16945636969131719944</stp>
        <tr r="F320" s="2"/>
      </tp>
      <tp t="s">
        <v>#N/A Requesting Data...2143107500</v>
        <stp/>
        <stp>BDP|11922086966530727906</stp>
        <tr r="E112" s="2"/>
      </tp>
      <tp t="s">
        <v>#N/A Requesting Data...2303500393</v>
        <stp/>
        <stp>BDP|10133193179859699174</stp>
        <tr r="H550" s="2"/>
      </tp>
      <tp t="s">
        <v>#N/A Requesting Data...3344091349</v>
        <stp/>
        <stp>BDP|14996982748171971608</stp>
        <tr r="G154" s="2"/>
      </tp>
      <tp t="s">
        <v>#N/A Requesting Data...3214830836</v>
        <stp/>
        <stp>BDP|12884470169487219972</stp>
        <tr r="H505" s="2"/>
      </tp>
      <tp t="s">
        <v>#N/A Requesting Data...2159439152</v>
        <stp/>
        <stp>BDP|14330939240806352108</stp>
        <tr r="H325" s="2"/>
      </tp>
      <tp t="s">
        <v>#N/A Requesting Data...2922232059</v>
        <stp/>
        <stp>BDP|18107468490998791335</stp>
        <tr r="AB38" s="1"/>
      </tp>
      <tp t="s">
        <v>#N/A Requesting Data...3272581657</v>
        <stp/>
        <stp>BDP|16775175483771659061</stp>
        <tr r="G243" s="2"/>
      </tp>
      <tp t="s">
        <v>#N/A Requesting Data...3923775094</v>
        <stp/>
        <stp>BDP|15419965993308534374</stp>
        <tr r="G488" s="2"/>
      </tp>
      <tp t="s">
        <v>#N/A Requesting Data...2114688706</v>
        <stp/>
        <stp>BDP|18344089673875909420</stp>
        <tr r="F458" s="2"/>
      </tp>
      <tp t="s">
        <v>#N/A Requesting Data...2629262319</v>
        <stp/>
        <stp>BDP|12687097039749149649</stp>
        <tr r="E564" s="2"/>
      </tp>
      <tp t="s">
        <v>#N/A Requesting Data...4155532130</v>
        <stp/>
        <stp>BDP|13518056437267772936</stp>
        <tr r="AA8" s="1"/>
      </tp>
      <tp t="s">
        <v>#N/A Requesting Data...4087640933</v>
        <stp/>
        <stp>BDP|16523556933779016718</stp>
        <tr r="Z90" s="1"/>
      </tp>
      <tp t="s">
        <v>#N/A Requesting Data...4213242021</v>
        <stp/>
        <stp>BDP|16600427013925346865</stp>
        <tr r="F116" s="2"/>
      </tp>
      <tp t="s">
        <v>#N/A Requesting Data...4241766798</v>
        <stp/>
        <stp>BDP|13057442982467223660</stp>
        <tr r="E468" s="2"/>
      </tp>
      <tp t="s">
        <v>#N/A Requesting Data...2787761067</v>
        <stp/>
        <stp>BDP|15576327677086021924</stp>
        <tr r="F403" s="2"/>
      </tp>
      <tp t="s">
        <v>#N/A Requesting Data...2525037889</v>
        <stp/>
        <stp>BDP|14708548521028384536</stp>
        <tr r="AA63" s="1"/>
      </tp>
      <tp t="s">
        <v>#N/A Requesting Data...2866869008</v>
        <stp/>
        <stp>BDP|17393550893250488548</stp>
        <tr r="E219" s="2"/>
      </tp>
      <tp t="s">
        <v>#N/A Requesting Data...3806036012</v>
        <stp/>
        <stp>BDP|13624550593977277674</stp>
        <tr r="H274" s="2"/>
      </tp>
      <tp t="s">
        <v>#N/A Requesting Data...2304320107</v>
        <stp/>
        <stp>BDP|10019664341039451560</stp>
        <tr r="AB61" s="1"/>
      </tp>
      <tp t="s">
        <v>#N/A Requesting Data...4053896869</v>
        <stp/>
        <stp>BDP|15415980922428838836</stp>
        <tr r="F299" s="2"/>
      </tp>
      <tp t="s">
        <v>#N/A Requesting Data...2283191277</v>
        <stp/>
        <stp>BDP|11396894152821557386</stp>
        <tr r="F110" s="2"/>
      </tp>
      <tp t="s">
        <v>#N/A Requesting Data...3448241937</v>
        <stp/>
        <stp>BDP|11793978960254294463</stp>
        <tr r="H617" s="2"/>
      </tp>
      <tp t="s">
        <v>#N/A Requesting Data...2599297196</v>
        <stp/>
        <stp>BDP|12005696059027383870</stp>
        <tr r="F262" s="2"/>
      </tp>
      <tp t="s">
        <v>#N/A Requesting Data...2727432522</v>
        <stp/>
        <stp>BDP|15003226792672114253</stp>
        <tr r="G103" s="2"/>
      </tp>
      <tp t="s">
        <v>#N/A Requesting Data...2387111177</v>
        <stp/>
        <stp>BDP|15095802728247479689</stp>
        <tr r="F556" s="2"/>
      </tp>
      <tp t="s">
        <v>#N/A Requesting Data...2149452495</v>
        <stp/>
        <stp>BDP|12018747555226156846</stp>
        <tr r="G301" s="2"/>
      </tp>
      <tp t="s">
        <v>#N/A Requesting Data...2580935207</v>
        <stp/>
        <stp>BDP|10962505516402296899</stp>
        <tr r="G458" s="2"/>
      </tp>
      <tp t="s">
        <v>#N/A Requesting Data...3957152966</v>
        <stp/>
        <stp>BDP|17712004784012521321</stp>
        <tr r="G407" s="2"/>
      </tp>
      <tp t="s">
        <v>#N/A Requesting Data...3405104388</v>
        <stp/>
        <stp>BDP|16451014576508304741</stp>
        <tr r="Z14" s="1"/>
      </tp>
      <tp t="s">
        <v>#N/A Requesting Data...2863133337</v>
        <stp/>
        <stp>BDP|17149604847632199907</stp>
        <tr r="Z58" s="1"/>
      </tp>
      <tp t="s">
        <v>#N/A Requesting Data...2920752599</v>
        <stp/>
        <stp>BDP|15494007054409414733</stp>
        <tr r="H51" s="2"/>
      </tp>
      <tp t="s">
        <v>#N/A Requesting Data...2036510039</v>
        <stp/>
        <stp>BDP|14368050994930404311</stp>
        <tr r="G63" s="2"/>
      </tp>
      <tp t="s">
        <v>#N/A Requesting Data...4014297990</v>
        <stp/>
        <stp>BDP|13599273386700367706</stp>
        <tr r="F357" s="2"/>
      </tp>
      <tp t="s">
        <v>#N/A Requesting Data...2111348064</v>
        <stp/>
        <stp>BDP|18372077427240038445</stp>
        <tr r="G443" s="2"/>
      </tp>
      <tp t="s">
        <v>#N/A Requesting Data...3054927407</v>
        <stp/>
        <stp>BDP|10637339867058023342</stp>
        <tr r="AA17" s="1"/>
      </tp>
      <tp t="s">
        <v>#N/A Requesting Data...3707145607</v>
        <stp/>
        <stp>BDP|16798896318519758875</stp>
        <tr r="E286" s="2"/>
      </tp>
      <tp t="s">
        <v>#N/A Requesting Data...3135526764</v>
        <stp/>
        <stp>BDP|12888850228740144629</stp>
        <tr r="AB21" s="1"/>
      </tp>
      <tp t="s">
        <v>#N/A Requesting Data...3198132214</v>
        <stp/>
        <stp>BDP|16694559233049263746</stp>
        <tr r="H64" s="2"/>
      </tp>
      <tp t="s">
        <v>#N/A Requesting Data...3058928152</v>
        <stp/>
        <stp>BDP|11457003081406441170</stp>
        <tr r="F513" s="2"/>
      </tp>
      <tp t="s">
        <v>#N/A Requesting Data...3771972533</v>
        <stp/>
        <stp>BDP|10011665410528893071</stp>
        <tr r="E13" s="2"/>
      </tp>
      <tp t="s">
        <v>#N/A Requesting Data...2592411101</v>
        <stp/>
        <stp>BDP|18380939481172136496</stp>
        <tr r="E139" s="2"/>
      </tp>
      <tp t="s">
        <v>#N/A Requesting Data...2702207829</v>
        <stp/>
        <stp>BDP|14129367573786430983</stp>
        <tr r="H219" s="2"/>
      </tp>
      <tp t="s">
        <v>#N/A Requesting Data...3727088633</v>
        <stp/>
        <stp>BDP|13779132469689333260</stp>
        <tr r="AB27" s="1"/>
      </tp>
      <tp t="s">
        <v>#N/A Requesting Data...3190183622</v>
        <stp/>
        <stp>BDP|15301089252637120832</stp>
        <tr r="Z28" s="1"/>
      </tp>
      <tp t="s">
        <v>#N/A Requesting Data...3216413899</v>
        <stp/>
        <stp>BDP|10488441746228455793</stp>
        <tr r="H309" s="2"/>
      </tp>
      <tp t="s">
        <v>#N/A Requesting Data...4208293701</v>
        <stp/>
        <stp>BDP|11419785293976658629</stp>
        <tr r="E595" s="2"/>
      </tp>
      <tp t="s">
        <v>#N/A Requesting Data...3951943892</v>
        <stp/>
        <stp>BDP|16880332946166152863</stp>
        <tr r="G20" s="2"/>
      </tp>
      <tp t="s">
        <v>#N/A Requesting Data...3047088568</v>
        <stp/>
        <stp>BDP|15787942017133612186</stp>
        <tr r="E340" s="2"/>
      </tp>
      <tp t="s">
        <v>#N/A Requesting Data...2465726464</v>
        <stp/>
        <stp>BDP|18221292810350766464</stp>
        <tr r="F584" s="2"/>
      </tp>
      <tp t="s">
        <v>#N/A Requesting Data...3846757292</v>
        <stp/>
        <stp>BDP|11246839113563887406</stp>
        <tr r="E475" s="2"/>
      </tp>
      <tp t="s">
        <v>#N/A Requesting Data...4012477453</v>
        <stp/>
        <stp>BDP|14772440766289657094</stp>
        <tr r="G341" s="2"/>
      </tp>
      <tp t="s">
        <v>#N/A Requesting Data...3268878062</v>
        <stp/>
        <stp>BDP|10362291861459395259</stp>
        <tr r="G247" s="2"/>
      </tp>
      <tp t="s">
        <v>#N/A Requesting Data...4013977106</v>
        <stp/>
        <stp>BDP|15516823193743118883</stp>
        <tr r="G482" s="2"/>
      </tp>
      <tp t="s">
        <v>#N/A Requesting Data...2797398374</v>
        <stp/>
        <stp>BDP|18316835175061924911</stp>
        <tr r="H397" s="2"/>
      </tp>
      <tp t="s">
        <v>#N/A Requesting Data...3387368406</v>
        <stp/>
        <stp>BDP|17379133117040810823</stp>
        <tr r="H390" s="2"/>
      </tp>
      <tp t="s">
        <v>#N/A Requesting Data...3315157458</v>
        <stp/>
        <stp>BDP|16603539159319056000</stp>
        <tr r="E434" s="2"/>
      </tp>
      <tp t="s">
        <v>#N/A Requesting Data...4100130838</v>
        <stp/>
        <stp>BDP|12824945524434192258</stp>
        <tr r="G302" s="2"/>
      </tp>
      <tp t="s">
        <v>#N/A Requesting Data...3216186960</v>
        <stp/>
        <stp>BDP|13848606079659892459</stp>
        <tr r="E523" s="2"/>
      </tp>
      <tp t="s">
        <v>#N/A Requesting Data...3570375042</v>
        <stp/>
        <stp>BDP|11301268269933361933</stp>
        <tr r="H359" s="2"/>
      </tp>
      <tp t="s">
        <v>#N/A Requesting Data...2428019403</v>
        <stp/>
        <stp>BDP|11944213223438134659</stp>
        <tr r="F303" s="2"/>
      </tp>
      <tp t="s">
        <v>#N/A Requesting Data...2603562966</v>
        <stp/>
        <stp>BDP|11340979791997986932</stp>
        <tr r="H2" s="2"/>
        <tr r="H27" s="2"/>
      </tp>
      <tp t="s">
        <v>#N/A Requesting Data...2837816240</v>
        <stp/>
        <stp>BDP|16910557975493206843</stp>
        <tr r="E306" s="2"/>
      </tp>
      <tp t="s">
        <v>#N/A Requesting Data...2128675164</v>
        <stp/>
        <stp>BDP|13318161269683146839</stp>
        <tr r="E549" s="2"/>
      </tp>
      <tp t="s">
        <v>#N/A Requesting Data...4191042694</v>
        <stp/>
        <stp>BDP|18216238739452683401</stp>
        <tr r="E515" s="2"/>
      </tp>
      <tp t="s">
        <v>#N/A Requesting Data...2901649762</v>
        <stp/>
        <stp>BDP|14535317702341041978</stp>
        <tr r="G241" s="2"/>
      </tp>
      <tp t="s">
        <v>#N/A Requesting Data...3670431844</v>
        <stp/>
        <stp>BDP|14031888609323364034</stp>
        <tr r="Z77" s="1"/>
      </tp>
      <tp t="s">
        <v>#N/A Requesting Data...3062744901</v>
        <stp/>
        <stp>BDP|10495534043106770823</stp>
        <tr r="H590" s="2"/>
      </tp>
      <tp t="s">
        <v>#N/A Requesting Data...4112397245</v>
        <stp/>
        <stp>BDP|10456768408869290191</stp>
        <tr r="E539" s="2"/>
      </tp>
      <tp t="s">
        <v>#N/A Requesting Data...3824063829</v>
        <stp/>
        <stp>BDP|11261013780096050024</stp>
        <tr r="E260" s="2"/>
      </tp>
      <tp t="s">
        <v>#N/A Requesting Data...3604088728</v>
        <stp/>
        <stp>BDP|16127347897292202113</stp>
        <tr r="G73" s="2"/>
      </tp>
      <tp t="s">
        <v>#N/A Requesting Data...2679446562</v>
        <stp/>
        <stp>BDP|16997984961191910789</stp>
        <tr r="E493" s="2"/>
      </tp>
      <tp t="s">
        <v>#N/A Requesting Data...3378405672</v>
        <stp/>
        <stp>BDP|15330950710916763417</stp>
        <tr r="G159" s="2"/>
      </tp>
      <tp t="s">
        <v>#N/A Requesting Data...3743101531</v>
        <stp/>
        <stp>BDP|11508887619031679628</stp>
        <tr r="E146" s="2"/>
      </tp>
      <tp t="s">
        <v>#N/A Requesting Data...2364086773</v>
        <stp/>
        <stp>BDP|16413664574090433828</stp>
        <tr r="E92" s="2"/>
      </tp>
      <tp t="s">
        <v>#N/A Requesting Data...3003035632</v>
        <stp/>
        <stp>BDP|11930232374373995878</stp>
        <tr r="G475" s="2"/>
      </tp>
      <tp t="s">
        <v>#N/A Requesting Data...2221078637</v>
        <stp/>
        <stp>BDP|17701915047301511446</stp>
        <tr r="E98" s="2"/>
      </tp>
      <tp t="s">
        <v>#N/A Requesting Data...3721886523</v>
        <stp/>
        <stp>BDP|11822229059259702073</stp>
        <tr r="G589" s="2"/>
      </tp>
      <tp t="s">
        <v>#N/A Requesting Data...3576633983</v>
        <stp/>
        <stp>BDP|11045512633971350926</stp>
        <tr r="F392" s="2"/>
      </tp>
      <tp t="s">
        <v>#N/A Requesting Data...2450378699</v>
        <stp/>
        <stp>BDP|16738610000447362866</stp>
        <tr r="E411" s="2"/>
      </tp>
      <tp t="s">
        <v>#N/A Requesting Data...2585344830</v>
        <stp/>
        <stp>BDP|10176982838742398701</stp>
        <tr r="G564" s="2"/>
      </tp>
      <tp t="s">
        <v>#N/A Requesting Data...3382978914</v>
        <stp/>
        <stp>BDP|12195229117857171976</stp>
        <tr r="E437" s="2"/>
      </tp>
      <tp t="s">
        <v>#N/A Requesting Data...2256228845</v>
        <stp/>
        <stp>BDP|18347044413712482420</stp>
        <tr r="G588" s="2"/>
      </tp>
      <tp t="s">
        <v>#N/A Requesting Data...3723786149</v>
        <stp/>
        <stp>BDP|16435888642412892748</stp>
        <tr r="AB96" s="1"/>
      </tp>
      <tp t="s">
        <v>#N/A Requesting Data...3959162187</v>
        <stp/>
        <stp>BDP|17063801245482467638</stp>
        <tr r="E239" s="2"/>
      </tp>
      <tp t="s">
        <v>#N/A Requesting Data...2874047184</v>
        <stp/>
        <stp>BDP|12706019445311036815</stp>
        <tr r="H528" s="2"/>
        <tr r="H530" s="2"/>
        <tr r="H542" s="2"/>
        <tr r="H625" s="2"/>
        <tr r="H627" s="2"/>
        <tr r="H629" s="2"/>
        <tr r="H631" s="2"/>
        <tr r="H633" s="2"/>
        <tr r="H635" s="2"/>
        <tr r="H637" s="2"/>
      </tp>
      <tp t="s">
        <v>#N/A Requesting Data...4122967610</v>
        <stp/>
        <stp>BDP|14931866545840817776</stp>
        <tr r="G9" s="2"/>
      </tp>
      <tp t="s">
        <v>#N/A Requesting Data...3504010759</v>
        <stp/>
        <stp>BDP|11369221912644642906</stp>
        <tr r="H593" s="2"/>
      </tp>
      <tp t="s">
        <v>#N/A Requesting Data...3007421914</v>
        <stp/>
        <stp>BDP|14509323696697729637</stp>
        <tr r="E179" s="2"/>
      </tp>
      <tp t="s">
        <v>#N/A Requesting Data...4131001616</v>
        <stp/>
        <stp>BDP|10180980523680795480</stp>
        <tr r="E477" s="2"/>
      </tp>
      <tp t="s">
        <v>#N/A Requesting Data...3072788282</v>
        <stp/>
        <stp>BDP|10812657099486149601</stp>
        <tr r="E393" s="2"/>
      </tp>
      <tp t="s">
        <v>#N/A Requesting Data...3776415385</v>
        <stp/>
        <stp>BDP|16356322411728477311</stp>
        <tr r="H408" s="2"/>
      </tp>
      <tp t="s">
        <v>#N/A Requesting Data...3790243230</v>
        <stp/>
        <stp>BDP|13267541234808783201</stp>
        <tr r="E395" s="2"/>
      </tp>
      <tp t="s">
        <v>#N/A Requesting Data...3401950902</v>
        <stp/>
        <stp>BDP|12176238187252161508</stp>
        <tr r="E406" s="2"/>
      </tp>
      <tp t="s">
        <v>#N/A Requesting Data...3114855241</v>
        <stp/>
        <stp>BDP|18005632088529754081</stp>
        <tr r="H204" s="2"/>
      </tp>
      <tp t="s">
        <v>#N/A Requesting Data...4270248415</v>
        <stp/>
        <stp>BDP|12806385068311857943</stp>
        <tr r="G149" s="2"/>
      </tp>
      <tp t="s">
        <v>#N/A Requesting Data...2895374845</v>
        <stp/>
        <stp>BDP|17282255783977036500</stp>
        <tr r="H373" s="2"/>
      </tp>
      <tp t="s">
        <v>#N/A Requesting Data...4143982632</v>
        <stp/>
        <stp>BDP|15694984861390131596</stp>
        <tr r="G435" s="2"/>
      </tp>
      <tp t="s">
        <v>#N/A Requesting Data...4266977055</v>
        <stp/>
        <stp>BDP|12969963615977895259</stp>
        <tr r="G55" s="2"/>
      </tp>
      <tp t="s">
        <v>#N/A Requesting Data...3547561994</v>
        <stp/>
        <stp>BDP|10420335356528168178</stp>
        <tr r="H525" s="2"/>
      </tp>
      <tp t="s">
        <v>#N/A Requesting Data...2505343736</v>
        <stp/>
        <stp>BDP|18303389138914659329</stp>
        <tr r="AB83" s="1"/>
      </tp>
      <tp t="s">
        <v>#N/A Requesting Data...2971719817</v>
        <stp/>
        <stp>BDP|13099711755386734844</stp>
        <tr r="H266" s="2"/>
      </tp>
      <tp t="s">
        <v>#N/A Requesting Data...2899507616</v>
        <stp/>
        <stp>BDP|14216971429306979623</stp>
        <tr r="E410" s="2"/>
      </tp>
      <tp t="s">
        <v>#N/A Requesting Data...2766686812</v>
        <stp/>
        <stp>BDP|17398731005906572970</stp>
        <tr r="H366" s="2"/>
      </tp>
      <tp t="s">
        <v>#N/A Requesting Data...2274207034</v>
        <stp/>
        <stp>BDP|10209159451678009319</stp>
        <tr r="F151" s="2"/>
      </tp>
      <tp t="s">
        <v>#N/A Requesting Data...3950286806</v>
        <stp/>
        <stp>BDP|10676828972647555749</stp>
        <tr r="E570" s="2"/>
      </tp>
      <tp t="s">
        <v>#N/A Requesting Data...4212813870</v>
        <stp/>
        <stp>BDP|13619993921560192797</stp>
        <tr r="E398" s="2"/>
      </tp>
      <tp t="s">
        <v>#N/A Requesting Data...3054477515</v>
        <stp/>
        <stp>BDP|10708489818953869992</stp>
        <tr r="G507" s="2"/>
      </tp>
      <tp t="s">
        <v>#N/A Requesting Data...3481082921</v>
        <stp/>
        <stp>BDP|17437421698242492432</stp>
        <tr r="E215" s="2"/>
      </tp>
      <tp t="s">
        <v>#N/A Requesting Data...2926645438</v>
        <stp/>
        <stp>BDP|17967768140338012066</stp>
        <tr r="AA73" s="1"/>
      </tp>
      <tp t="s">
        <v>#N/A Requesting Data...3082871125</v>
        <stp/>
        <stp>BDP|12785386592011336575</stp>
        <tr r="F404" s="2"/>
      </tp>
      <tp t="s">
        <v>#N/A Requesting Data...2637406403</v>
        <stp/>
        <stp>BDP|11148882402955226000</stp>
        <tr r="F63" s="2"/>
      </tp>
      <tp t="s">
        <v>#N/A Requesting Data...2745444716</v>
        <stp/>
        <stp>BDP|17344482757709065355</stp>
        <tr r="AB45" s="1"/>
      </tp>
      <tp t="s">
        <v>#N/A Requesting Data...3080162233</v>
        <stp/>
        <stp>BDP|10572632201148943271</stp>
        <tr r="H28" s="2"/>
      </tp>
      <tp t="s">
        <v>#N/A Requesting Data...2211754083</v>
        <stp/>
        <stp>BDP|17161123346246592887</stp>
        <tr r="F561" s="2"/>
      </tp>
      <tp t="s">
        <v>#N/A Requesting Data...2973554034</v>
        <stp/>
        <stp>BDP|10655235129789073548</stp>
        <tr r="G552" s="2"/>
      </tp>
      <tp t="s">
        <v>#N/A Requesting Data...2529175940</v>
        <stp/>
        <stp>BDP|10716280006707492952</stp>
        <tr r="E4" s="2"/>
      </tp>
      <tp t="s">
        <v>#N/A Requesting Data...3221655807</v>
        <stp/>
        <stp>BDP|16748667101498174491</stp>
        <tr r="F334" s="2"/>
      </tp>
      <tp t="s">
        <v>#N/A Requesting Data...2813582016</v>
        <stp/>
        <stp>BDP|12155421184152643095</stp>
        <tr r="E41" s="2"/>
      </tp>
      <tp t="s">
        <v>#N/A Requesting Data...4098421080</v>
        <stp/>
        <stp>BDP|14458393989774914769</stp>
        <tr r="H7" s="2"/>
      </tp>
      <tp t="s">
        <v>#N/A Requesting Data...2823949363</v>
        <stp/>
        <stp>BDP|11245340714797845819</stp>
        <tr r="G53" s="2"/>
      </tp>
      <tp t="s">
        <v>#N/A Requesting Data...3589802118</v>
        <stp/>
        <stp>BDP|18136911253458081082</stp>
        <tr r="G345" s="2"/>
      </tp>
      <tp t="s">
        <v>#N/A Requesting Data...3397050227</v>
        <stp/>
        <stp>BDP|17901850809221879266</stp>
        <tr r="H259" s="2"/>
      </tp>
      <tp t="s">
        <v>#N/A Requesting Data...3123527841</v>
        <stp/>
        <stp>BDP|16862314684903050275</stp>
        <tr r="F361" s="2"/>
      </tp>
      <tp t="s">
        <v>#N/A Requesting Data...3612317597</v>
        <stp/>
        <stp>BDP|10114839001433804714</stp>
        <tr r="G448" s="2"/>
      </tp>
      <tp t="s">
        <v>#N/A Requesting Data...3634439589</v>
        <stp/>
        <stp>BDP|15157878182620658981</stp>
        <tr r="H37" s="2"/>
      </tp>
      <tp t="s">
        <v>#N/A Requesting Data...3040879743</v>
        <stp/>
        <stp>BDP|15419082048685784893</stp>
        <tr r="H42" s="2"/>
      </tp>
      <tp t="s">
        <v>#N/A Requesting Data...3446871195</v>
        <stp/>
        <stp>BDP|14806850345243159748</stp>
        <tr r="H422" s="2"/>
      </tp>
      <tp t="s">
        <v>#N/A Requesting Data...2126824863</v>
        <stp/>
        <stp>BDP|11599998067286184461</stp>
        <tr r="Z86" s="1"/>
      </tp>
      <tp t="s">
        <v>#N/A Requesting Data...2627767422</v>
        <stp/>
        <stp>BDP|16860451375919130052</stp>
        <tr r="G368" s="2"/>
      </tp>
      <tp t="s">
        <v>#N/A Requesting Data...4111847140</v>
        <stp/>
        <stp>BDP|15951971010954080529</stp>
        <tr r="E370" s="2"/>
      </tp>
      <tp t="s">
        <v>#N/A Requesting Data...4008255818</v>
        <stp/>
        <stp>BDP|10121307544682005990</stp>
        <tr r="H100" s="2"/>
      </tp>
      <tp t="s">
        <v>#N/A Requesting Data...3266599892</v>
        <stp/>
        <stp>BDP|12413771168118563725</stp>
        <tr r="H516" s="2"/>
      </tp>
      <tp t="s">
        <v>#N/A Requesting Data...4209747697</v>
        <stp/>
        <stp>BDP|14492698808039392791</stp>
        <tr r="F264" s="2"/>
      </tp>
      <tp t="s">
        <v>#N/A Requesting Data...3976573322</v>
        <stp/>
        <stp>BDP|12173914563814480598</stp>
        <tr r="AA54" s="1"/>
      </tp>
      <tp t="s">
        <v>#N/A Requesting Data...3673219424</v>
        <stp/>
        <stp>BDP|13547164621515826948</stp>
        <tr r="G77" s="2"/>
      </tp>
      <tp t="s">
        <v>#N/A Requesting Data...3009705710</v>
        <stp/>
        <stp>BDP|11850752976615098855</stp>
        <tr r="G239" s="2"/>
      </tp>
      <tp t="s">
        <v>#N/A Requesting Data...4267956212</v>
        <stp/>
        <stp>BDP|17723830686689402288</stp>
        <tr r="E425" s="2"/>
      </tp>
      <tp t="s">
        <v>#N/A Requesting Data...3753137008</v>
        <stp/>
        <stp>BDP|17843497715937230989</stp>
        <tr r="Z32" s="1"/>
      </tp>
      <tp t="s">
        <v>#N/A Requesting Data...3729717800</v>
        <stp/>
        <stp>BDP|18216177951330399067</stp>
        <tr r="E332" s="2"/>
      </tp>
      <tp t="s">
        <v>#N/A Requesting Data...2625342852</v>
        <stp/>
        <stp>BDP|16829414893700883733</stp>
        <tr r="H474" s="2"/>
      </tp>
      <tp t="s">
        <v>#N/A Requesting Data...2841677744</v>
        <stp/>
        <stp>BDP|17993186224039225164</stp>
        <tr r="H331" s="2"/>
      </tp>
      <tp t="s">
        <v>#N/A Requesting Data...4195361933</v>
        <stp/>
        <stp>BDP|11790608238008907070</stp>
        <tr r="E605" s="2"/>
      </tp>
      <tp t="s">
        <v>#N/A Requesting Data...2785912254</v>
        <stp/>
        <stp>BDP|15765851062700329730</stp>
        <tr r="E275" s="2"/>
      </tp>
      <tp t="s">
        <v>#N/A Requesting Data...3506093709</v>
        <stp/>
        <stp>BDP|10489166923896961985</stp>
        <tr r="G105" s="2"/>
      </tp>
      <tp t="s">
        <v>#N/A Requesting Data...4000208668</v>
        <stp/>
        <stp>BDP|12459435487522075038</stp>
        <tr r="E210" s="2"/>
      </tp>
      <tp t="s">
        <v>#N/A Requesting Data...2835973096</v>
        <stp/>
        <stp>BDP|15639363620298247019</stp>
        <tr r="H415" s="2"/>
      </tp>
      <tp t="s">
        <v>#N/A Requesting Data...3694797450</v>
        <stp/>
        <stp>BDP|14230965364201705646</stp>
        <tr r="E62" s="2"/>
      </tp>
      <tp t="s">
        <v>#N/A Requesting Data...2244832601</v>
        <stp/>
        <stp>BDP|17707891555952925418</stp>
        <tr r="E33" s="2"/>
      </tp>
      <tp t="s">
        <v>#N/A Requesting Data...4268215462</v>
        <stp/>
        <stp>BDP|18366474843457446303</stp>
        <tr r="F460" s="2"/>
      </tp>
      <tp t="s">
        <v>#N/A Requesting Data...2940448155</v>
        <stp/>
        <stp>BDP|16932782822157497852</stp>
        <tr r="E226" s="2"/>
      </tp>
      <tp t="s">
        <v>#N/A Requesting Data...2493370933</v>
        <stp/>
        <stp>BDP|16728244081168413848</stp>
        <tr r="H446" s="2"/>
      </tp>
      <tp t="s">
        <v>#N/A Requesting Data...3298225143</v>
        <stp/>
        <stp>BDP|10070716980606023534</stp>
        <tr r="F446" s="2"/>
      </tp>
      <tp t="s">
        <v>#N/A Requesting Data...3225007259</v>
        <stp/>
        <stp>BDP|16275760563492212975</stp>
        <tr r="G78" s="2"/>
      </tp>
      <tp t="s">
        <v>#N/A Requesting Data...4130848106</v>
        <stp/>
        <stp>BDP|15266816054145764121</stp>
        <tr r="E75" s="2"/>
      </tp>
      <tp t="s">
        <v>#N/A Requesting Data...3449243027</v>
        <stp/>
        <stp>BDP|15200770094284359302</stp>
        <tr r="Z3" s="1"/>
      </tp>
      <tp t="s">
        <v>#N/A Requesting Data...3658876184</v>
        <stp/>
        <stp>BDP|17427641047161378861</stp>
        <tr r="E303" s="2"/>
      </tp>
      <tp t="s">
        <v>#N/A Requesting Data...3382479971</v>
        <stp/>
        <stp>BDP|10369100227208599747</stp>
        <tr r="E290" s="2"/>
      </tp>
      <tp t="s">
        <v>#N/A Requesting Data...3233663993</v>
        <stp/>
        <stp>BDP|13710311452049663071</stp>
        <tr r="G300" s="2"/>
      </tp>
      <tp t="s">
        <v>#N/A Requesting Data...3152328050</v>
        <stp/>
        <stp>BDP|11170707139490825952</stp>
        <tr r="E318" s="2"/>
      </tp>
      <tp t="s">
        <v>#N/A Requesting Data...3944966230</v>
        <stp/>
        <stp>BDP|17544455046193511879</stp>
        <tr r="F471" s="2"/>
      </tp>
      <tp t="s">
        <v>#N/A Requesting Data...4002057321</v>
        <stp/>
        <stp>BDP|16657270504841400952</stp>
        <tr r="AA19" s="1"/>
      </tp>
      <tp t="s">
        <v>#N/A Requesting Data...3078281248</v>
        <stp/>
        <stp>BDP|13421314520958642679</stp>
        <tr r="H227" s="2"/>
      </tp>
      <tp t="s">
        <v>#N/A Requesting Data...2584112232</v>
        <stp/>
        <stp>BDP|15066466681066234311</stp>
        <tr r="F453" s="2"/>
      </tp>
      <tp t="s">
        <v>#N/A Requesting Data...2405104297</v>
        <stp/>
        <stp>BDP|15407732510007731846</stp>
        <tr r="G330" s="2"/>
      </tp>
      <tp t="s">
        <v>#N/A Requesting Data...3161283485</v>
        <stp/>
        <stp>BDP|10331601535649868099</stp>
        <tr r="F415" s="2"/>
      </tp>
      <tp t="s">
        <v>#N/A Requesting Data...3052011372</v>
        <stp/>
        <stp>BDP|15073231506809076222</stp>
        <tr r="Z84" s="1"/>
      </tp>
      <tp t="s">
        <v>#N/A Requesting Data...3126325357</v>
        <stp/>
        <stp>BDP|14006810632684687720</stp>
        <tr r="F613" s="2"/>
      </tp>
      <tp t="s">
        <v>#N/A Requesting Data...2617749373</v>
        <stp/>
        <stp>BDP|16805883830879434834</stp>
        <tr r="E153" s="2"/>
      </tp>
      <tp t="s">
        <v>#N/A Requesting Data...2926257193</v>
        <stp/>
        <stp>BDP|11361836457623809385</stp>
        <tr r="E471" s="2"/>
      </tp>
      <tp t="s">
        <v>#N/A Requesting Data...3663751022</v>
        <stp/>
        <stp>BDP|10441166311679415506</stp>
        <tr r="G54" s="2"/>
      </tp>
      <tp t="s">
        <v>#N/A Requesting Data...3272376134</v>
        <stp/>
        <stp>BDP|14636941556324064030</stp>
        <tr r="E300" s="2"/>
      </tp>
      <tp t="s">
        <v>#N/A Requesting Data...2408400558</v>
        <stp/>
        <stp>BDP|11911052179633557969</stp>
        <tr r="F191" s="2"/>
      </tp>
      <tp t="s">
        <v>#N/A Requesting Data...2348790101</v>
        <stp/>
        <stp>BDP|16484323674009131750</stp>
        <tr r="E524" s="2"/>
      </tp>
      <tp t="s">
        <v>#N/A Requesting Data...4031531326</v>
        <stp/>
        <stp>BDP|16005110060238514520</stp>
        <tr r="F173" s="2"/>
      </tp>
      <tp t="s">
        <v>#N/A Requesting Data...3233504047</v>
        <stp/>
        <stp>BDP|13812584193872864021</stp>
        <tr r="F330" s="2"/>
      </tp>
      <tp t="s">
        <v>#N/A Requesting Data...3182893861</v>
        <stp/>
        <stp>BDP|14435486181372298760</stp>
        <tr r="H96" s="2"/>
      </tp>
      <tp t="s">
        <v>#N/A Requesting Data...3589731533</v>
        <stp/>
        <stp>BDP|10241988170985061637</stp>
        <tr r="G277" s="2"/>
      </tp>
      <tp t="s">
        <v>#N/A Requesting Data...2326738077</v>
        <stp/>
        <stp>BDP|14266296221139728059</stp>
        <tr r="H602" s="2"/>
      </tp>
      <tp t="s">
        <v>#N/A Requesting Data...3274933009</v>
        <stp/>
        <stp>BDP|17625766294097490383</stp>
        <tr r="H417" s="2"/>
      </tp>
      <tp t="s">
        <v>#N/A Requesting Data...3590004138</v>
        <stp/>
        <stp>BDP|10020899231712484472</stp>
        <tr r="G543" s="2"/>
      </tp>
      <tp t="s">
        <v>#N/A Requesting Data...2216821979</v>
        <stp/>
        <stp>BDP|12145455211409690388</stp>
        <tr r="E57" s="2"/>
      </tp>
      <tp t="s">
        <v>#N/A Requesting Data...3985234788</v>
        <stp/>
        <stp>BDP|11813872356274297512</stp>
        <tr r="H561" s="2"/>
      </tp>
      <tp t="s">
        <v>#N/A Requesting Data...2476596252</v>
        <stp/>
        <stp>BDP|11410971369324829788</stp>
        <tr r="E482" s="2"/>
      </tp>
      <tp t="s">
        <v>#N/A Requesting Data...2519678756</v>
        <stp/>
        <stp>BDP|17209383767137778806</stp>
        <tr r="G350" s="2"/>
      </tp>
      <tp t="s">
        <v>#N/A Requesting Data...4267529581</v>
        <stp/>
        <stp>BDP|17068778091624990053</stp>
        <tr r="G167" s="2"/>
      </tp>
      <tp t="s">
        <v>#N/A Requesting Data...3262278675</v>
        <stp/>
        <stp>BDP|13179671167186908821</stp>
        <tr r="Z69" s="1"/>
      </tp>
      <tp t="s">
        <v>#N/A Requesting Data...3687967713</v>
        <stp/>
        <stp>BDP|16001486777249146146</stp>
        <tr r="E374" s="2"/>
      </tp>
      <tp t="s">
        <v>#N/A Requesting Data...2753048639</v>
        <stp/>
        <stp>BDP|14812979868091492794</stp>
        <tr r="G512" s="2"/>
      </tp>
      <tp t="s">
        <v>#N/A Requesting Data...3575544852</v>
        <stp/>
        <stp>BDP|14887669663718575152</stp>
        <tr r="E346" s="2"/>
      </tp>
      <tp t="s">
        <v>#N/A Requesting Data...3194825934</v>
        <stp/>
        <stp>BDP|10073974718102519771</stp>
        <tr r="G108" s="2"/>
      </tp>
      <tp t="s">
        <v>#N/A Requesting Data...2349599902</v>
        <stp/>
        <stp>BDP|17501419004818964647</stp>
        <tr r="G559" s="2"/>
      </tp>
      <tp t="s">
        <v>#N/A Requesting Data...3707800793</v>
        <stp/>
        <stp>BDP|18175660388528426364</stp>
        <tr r="H198" s="2"/>
      </tp>
      <tp t="s">
        <v>#N/A Requesting Data...3115962966</v>
        <stp/>
        <stp>BDP|17476250989341277169</stp>
        <tr r="E88" s="2"/>
      </tp>
      <tp t="s">
        <v>#N/A Requesting Data...2541113376</v>
        <stp/>
        <stp>BDP|13947454097163400030</stp>
        <tr r="F215" s="2"/>
      </tp>
      <tp t="s">
        <v>#N/A Requesting Data...2567175809</v>
        <stp/>
        <stp>BDP|13970352190273850785</stp>
        <tr r="H84" s="2"/>
      </tp>
      <tp t="s">
        <v>#N/A Requesting Data...4078892361</v>
        <stp/>
        <stp>BDP|13090475751058879711</stp>
        <tr r="Z93" s="1"/>
      </tp>
      <tp t="s">
        <v>#N/A Requesting Data...2857055518</v>
        <stp/>
        <stp>BDP|13725214443579366192</stp>
        <tr r="E163" s="2"/>
      </tp>
      <tp t="s">
        <v>#N/A Requesting Data...3051589267</v>
        <stp/>
        <stp>BDP|10496826555386506682</stp>
        <tr r="H65" s="2"/>
      </tp>
      <tp t="s">
        <v>#N/A Requesting Data...3272799934</v>
        <stp/>
        <stp>BDP|16004099153427077949</stp>
        <tr r="H560" s="2"/>
      </tp>
      <tp t="s">
        <v>#N/A Requesting Data...2753207855</v>
        <stp/>
        <stp>BDP|10461941300722399626</stp>
        <tr r="F424" s="2"/>
      </tp>
      <tp t="s">
        <v>#N/A Requesting Data...3073213898</v>
        <stp/>
        <stp>BDP|14897792261809293135</stp>
        <tr r="G245" s="2"/>
      </tp>
      <tp t="s">
        <v>#N/A Requesting Data...2985811433</v>
        <stp/>
        <stp>BDP|16264946031687279640</stp>
        <tr r="Z15" s="1"/>
      </tp>
      <tp t="s">
        <v>#N/A Requesting Data...2934492477</v>
        <stp/>
        <stp>BDP|12354085832288054486</stp>
        <tr r="F227" s="2"/>
      </tp>
      <tp t="s">
        <v>#N/A Requesting Data...3304546233</v>
        <stp/>
        <stp>BDP|12830183760131518947</stp>
        <tr r="H585" s="2"/>
      </tp>
      <tp t="s">
        <v>#N/A Requesting Data...3212826825</v>
        <stp/>
        <stp>BDP|16579652281151545455</stp>
        <tr r="E101" s="2"/>
      </tp>
      <tp t="s">
        <v>#N/A Requesting Data...2437525806</v>
        <stp/>
        <stp>BDP|17740577426994054966</stp>
        <tr r="F28" s="2"/>
      </tp>
      <tp t="s">
        <v>#N/A Requesting Data...2426490056</v>
        <stp/>
        <stp>BDP|17913651793281912466</stp>
        <tr r="H464" s="2"/>
      </tp>
      <tp t="s">
        <v>#N/A Requesting Data...3167129050</v>
        <stp/>
        <stp>BDP|16919289884491672000</stp>
        <tr r="E231" s="2"/>
      </tp>
      <tp t="s">
        <v>#N/A Requesting Data...3992274167</v>
        <stp/>
        <stp>BDP|14444882709143672208</stp>
        <tr r="E172" s="2"/>
      </tp>
      <tp t="s">
        <v>#N/A Requesting Data...2267961693</v>
        <stp/>
        <stp>BDP|14508960752246655349</stp>
        <tr r="G519" s="2"/>
      </tp>
      <tp t="s">
        <v>#N/A Requesting Data...3801209836</v>
        <stp/>
        <stp>BDP|10901098992620169412</stp>
        <tr r="F365" s="2"/>
      </tp>
      <tp t="s">
        <v>#N/A Requesting Data...2396259320</v>
        <stp/>
        <stp>BDP|14206398230359073092</stp>
        <tr r="H361" s="2"/>
      </tp>
      <tp t="s">
        <v>#N/A Requesting Data...2646889339</v>
        <stp/>
        <stp>BDP|10540135124287352934</stp>
        <tr r="G107" s="2"/>
      </tp>
      <tp t="s">
        <v>#N/A Requesting Data...2239092523</v>
        <stp/>
        <stp>BDP|11907441315591951837</stp>
        <tr r="F416" s="2"/>
      </tp>
      <tp t="s">
        <v>#N/A Requesting Data...3887897370</v>
        <stp/>
        <stp>BDP|11347961753467161752</stp>
        <tr r="E399" s="2"/>
      </tp>
      <tp t="s">
        <v>#N/A Requesting Data...2969783670</v>
        <stp/>
        <stp>BDP|18350148672785665667</stp>
        <tr r="F319" s="2"/>
      </tp>
      <tp t="s">
        <v>#N/A Requesting Data...3074143058</v>
        <stp/>
        <stp>BDP|11908925143428888957</stp>
        <tr r="H523" s="2"/>
      </tp>
      <tp t="s">
        <v>#N/A Requesting Data...4262983560</v>
        <stp/>
        <stp>BDP|11943807171703908048</stp>
        <tr r="F237" s="2"/>
      </tp>
      <tp t="s">
        <v>#N/A Requesting Data...4173914179</v>
        <stp/>
        <stp>BDP|14719882199128102020</stp>
        <tr r="H181" s="2"/>
      </tp>
      <tp t="s">
        <v>#N/A Requesting Data...3901632019</v>
        <stp/>
        <stp>BDP|15078413924616032800</stp>
        <tr r="H566" s="2"/>
      </tp>
      <tp t="s">
        <v>#N/A Requesting Data...2318893095</v>
        <stp/>
        <stp>BDP|15103727907466811992</stp>
        <tr r="H264" s="2"/>
      </tp>
      <tp t="s">
        <v>#N/A Requesting Data...2653190114</v>
        <stp/>
        <stp>BDP|12355956641172395005</stp>
        <tr r="G202" s="2"/>
      </tp>
      <tp t="s">
        <v>#N/A Requesting Data...4239202966</v>
        <stp/>
        <stp>BDP|17193810961382406626</stp>
        <tr r="H4" s="2"/>
      </tp>
      <tp t="s">
        <v>#N/A Requesting Data...2303844563</v>
        <stp/>
        <stp>BDP|16197522085952047414</stp>
        <tr r="F359" s="2"/>
      </tp>
      <tp t="s">
        <v>#N/A Requesting Data...3924233109</v>
        <stp/>
        <stp>BDP|16054244892880533048</stp>
        <tr r="H225" s="2"/>
      </tp>
      <tp t="s">
        <v>#N/A Requesting Data...3742474013</v>
        <stp/>
        <stp>BDP|16375442239345844915</stp>
        <tr r="F108" s="2"/>
      </tp>
      <tp t="s">
        <v>#N/A Requesting Data...3574151162</v>
        <stp/>
        <stp>BDP|11364344110237530955</stp>
        <tr r="F9" s="2"/>
      </tp>
      <tp t="s">
        <v>#N/A Requesting Data...3373935103</v>
        <stp/>
        <stp>BDP|16536977635556205727</stp>
        <tr r="Z98" s="1"/>
      </tp>
      <tp t="s">
        <v>#N/A Requesting Data...2776447751</v>
        <stp/>
        <stp>BDP|10370308833029028479</stp>
        <tr r="H26" s="2"/>
      </tp>
      <tp t="s">
        <v>#N/A Requesting Data...4100450678</v>
        <stp/>
        <stp>BDP|12545000321694452966</stp>
        <tr r="AB56" s="1"/>
      </tp>
      <tp t="s">
        <v>#N/A Requesting Data...3410128475</v>
        <stp/>
        <stp>BDP|16001948856561484602</stp>
        <tr r="E307" s="2"/>
      </tp>
      <tp t="s">
        <v>#N/A Requesting Data...3710468282</v>
        <stp/>
        <stp>BDP|10889559878419234611</stp>
        <tr r="F99" s="2"/>
      </tp>
      <tp t="s">
        <v>#N/A Requesting Data...3436877513</v>
        <stp/>
        <stp>BDP|17296315668610674046</stp>
        <tr r="F208" s="2"/>
      </tp>
      <tp t="s">
        <v>#N/A Requesting Data...2538830237</v>
        <stp/>
        <stp>BDP|15762486205737577468</stp>
        <tr r="H504" s="2"/>
      </tp>
      <tp t="s">
        <v>#N/A Requesting Data...4205590895</v>
        <stp/>
        <stp>BDP|14884556411402518007</stp>
        <tr r="Z72" s="1"/>
      </tp>
      <tp t="s">
        <v>#N/A Requesting Data...2609730750</v>
        <stp/>
        <stp>BDP|17859311313184250313</stp>
        <tr r="AA98" s="1"/>
      </tp>
      <tp t="s">
        <v>#N/A Requesting Data...3605511953</v>
        <stp/>
        <stp>BDP|11916175310667274457</stp>
        <tr r="G386" s="2"/>
      </tp>
      <tp t="s">
        <v>#N/A Requesting Data...3929909087</v>
        <stp/>
        <stp>BDP|14594501610984992658</stp>
        <tr r="F275" s="2"/>
      </tp>
      <tp t="s">
        <v>#N/A Requesting Data...2862475620</v>
        <stp/>
        <stp>BDP|13804669055810190238</stp>
        <tr r="E602" s="2"/>
      </tp>
      <tp t="s">
        <v>#N/A Requesting Data...2541854692</v>
        <stp/>
        <stp>BDP|14753495961554662004</stp>
        <tr r="G172" s="2"/>
      </tp>
      <tp t="s">
        <v>#N/A Requesting Data...3912998100</v>
        <stp/>
        <stp>BDP|12234392632152823287</stp>
        <tr r="AA65" s="1"/>
      </tp>
      <tp t="s">
        <v>#N/A Requesting Data...2561438078</v>
        <stp/>
        <stp>BDP|11640744759479146835</stp>
        <tr r="E498" s="2"/>
      </tp>
      <tp t="s">
        <v>#N/A Requesting Data...4151757686</v>
        <stp/>
        <stp>BDP|18110956223987700685</stp>
        <tr r="G206" s="2"/>
      </tp>
      <tp t="s">
        <v>#N/A Requesting Data...4223467800</v>
        <stp/>
        <stp>BDP|16644460714960856146</stp>
        <tr r="H19" s="2"/>
      </tp>
      <tp t="s">
        <v>#N/A Requesting Data...3423786111</v>
        <stp/>
        <stp>BDP|14620183058594819668</stp>
        <tr r="E214" s="2"/>
      </tp>
      <tp t="s">
        <v>#N/A Requesting Data...3836434185</v>
        <stp/>
        <stp>BDP|17679800931967711983</stp>
        <tr r="E212" s="2"/>
      </tp>
      <tp t="s">
        <v>#N/A Requesting Data...3589979371</v>
        <stp/>
        <stp>BDP|16111792264681564411</stp>
        <tr r="F29" s="2"/>
      </tp>
      <tp t="s">
        <v>#N/A Requesting Data...3830299113</v>
        <stp/>
        <stp>BDP|12580678543656952438</stp>
        <tr r="AA75" s="1"/>
      </tp>
      <tp t="s">
        <v>#N/A Requesting Data...4001430691</v>
        <stp/>
        <stp>BDP|18148968672075775199</stp>
        <tr r="G557" s="2"/>
      </tp>
      <tp t="s">
        <v>#N/A Requesting Data...3781964468</v>
        <stp/>
        <stp>BDP|10552866217832924968</stp>
        <tr r="G623" s="2"/>
      </tp>
      <tp t="s">
        <v>#N/A Requesting Data...3282341268</v>
        <stp/>
        <stp>BDP|12600336119714759600</stp>
        <tr r="E560" s="2"/>
      </tp>
      <tp t="s">
        <v>#N/A Requesting Data...3449710470</v>
        <stp/>
        <stp>BDP|17835849825146127921</stp>
        <tr r="F337" s="2"/>
      </tp>
      <tp t="s">
        <v>#N/A Requesting Data...2482690469</v>
        <stp/>
        <stp>BDP|11481255318667536764</stp>
        <tr r="H376" s="2"/>
      </tp>
      <tp t="s">
        <v>#N/A Requesting Data...3065407716</v>
        <stp/>
        <stp>BDP|13600201405987136488</stp>
        <tr r="F422" s="2"/>
      </tp>
      <tp t="s">
        <v>#N/A Requesting Data...4221917020</v>
        <stp/>
        <stp>BDP|14745035314414957336</stp>
        <tr r="F554" s="2"/>
      </tp>
      <tp t="s">
        <v>#N/A Requesting Data...3369317881</v>
        <stp/>
        <stp>BDP|13275394465763741749</stp>
        <tr r="F314" s="2"/>
      </tp>
      <tp t="s">
        <v>#N/A Requesting Data...3854405407</v>
        <stp/>
        <stp>BDP|13050639840701754296</stp>
        <tr r="F229" s="2"/>
      </tp>
      <tp t="s">
        <v>#N/A Requesting Data...2550348338</v>
        <stp/>
        <stp>BDP|17509481732915730756</stp>
        <tr r="G67" s="2"/>
      </tp>
      <tp t="s">
        <v>#N/A Requesting Data...2641678883</v>
        <stp/>
        <stp>BDP|12477179649567079271</stp>
        <tr r="E333" s="2"/>
      </tp>
      <tp t="s">
        <v>#N/A Requesting Data...3178516403</v>
        <stp/>
        <stp>BDP|15128425561386796380</stp>
        <tr r="E96" s="2"/>
      </tp>
      <tp t="s">
        <v>#N/A Requesting Data...3881325107</v>
        <stp/>
        <stp>BDP|17481480762504717340</stp>
        <tr r="F217" s="2"/>
      </tp>
      <tp t="s">
        <v>#N/A Requesting Data...3076921289</v>
        <stp/>
        <stp>BDP|15919511702233209153</stp>
        <tr r="Z101" s="1"/>
      </tp>
      <tp t="s">
        <v>#N/A Requesting Data...3351834573</v>
        <stp/>
        <stp>BDP|10709317857757816344</stp>
        <tr r="E571" s="2"/>
      </tp>
      <tp t="s">
        <v>#N/A Requesting Data...4156929327</v>
        <stp/>
        <stp>BDP|16260177768075252638</stp>
        <tr r="AA81" s="1"/>
      </tp>
      <tp t="s">
        <v>#N/A Requesting Data...3326875210</v>
        <stp/>
        <stp>BDP|12770597291748794449</stp>
        <tr r="G514" s="2"/>
      </tp>
      <tp t="s">
        <v>#N/A Requesting Data...2394087519</v>
        <stp/>
        <stp>BDP|12096698712383183453</stp>
        <tr r="E422" s="2"/>
      </tp>
      <tp t="s">
        <v>#N/A Requesting Data...3919738524</v>
        <stp/>
        <stp>BDP|10474731922621257681</stp>
        <tr r="F61" s="2"/>
      </tp>
      <tp t="s">
        <v>#N/A Requesting Data...2788836728</v>
        <stp/>
        <stp>BDP|17011358451215390699</stp>
        <tr r="H418" s="2"/>
      </tp>
      <tp t="s">
        <v>#N/A Requesting Data...4236050860</v>
        <stp/>
        <stp>BDP|13071480065767261416</stp>
        <tr r="E155" s="2"/>
      </tp>
      <tp t="s">
        <v>#N/A Requesting Data...4003145420</v>
        <stp/>
        <stp>BDP|14449433292883304888</stp>
        <tr r="F39" s="2"/>
      </tp>
      <tp t="s">
        <v>#N/A Requesting Data...2889949596</v>
        <stp/>
        <stp>BDP|12804762011836456058</stp>
        <tr r="E512" s="2"/>
      </tp>
      <tp t="s">
        <v>#N/A Requesting Data...2718582484</v>
        <stp/>
        <stp>BDP|12538174155203443728</stp>
        <tr r="E415" s="2"/>
      </tp>
      <tp t="s">
        <v>#N/A Requesting Data...3762678189</v>
        <stp/>
        <stp>BDP|15321256844597375600</stp>
        <tr r="AB25" s="1"/>
      </tp>
      <tp t="s">
        <v>#N/A Requesting Data...4007703124</v>
        <stp/>
        <stp>BDP|12042463642131294179</stp>
        <tr r="E487" s="2"/>
      </tp>
      <tp t="s">
        <v>#N/A Requesting Data...2562629910</v>
        <stp/>
        <stp>BDP|15725229116154553060</stp>
        <tr r="F43" s="2"/>
      </tp>
      <tp t="s">
        <v>#N/A Requesting Data...2744133479</v>
        <stp/>
        <stp>BDP|16226391040134356789</stp>
        <tr r="E283" s="2"/>
      </tp>
      <tp t="s">
        <v>#N/A Requesting Data...3192872486</v>
        <stp/>
        <stp>BDP|14693834631328117553</stp>
        <tr r="G10" s="2"/>
      </tp>
      <tp t="s">
        <v>#N/A Requesting Data...3806122629</v>
        <stp/>
        <stp>BDP|18015392679178727673</stp>
        <tr r="H616" s="2"/>
      </tp>
      <tp t="s">
        <v>#N/A Requesting Data...2313655988</v>
        <stp/>
        <stp>BDP|14811456699799059247</stp>
        <tr r="E336" s="2"/>
      </tp>
      <tp t="s">
        <v>#N/A Requesting Data...2640162908</v>
        <stp/>
        <stp>BDP|15078843175581690979</stp>
        <tr r="Z91" s="1"/>
      </tp>
      <tp t="s">
        <v>#N/A Requesting Data...4025562781</v>
        <stp/>
        <stp>BDP|10719574395427111940</stp>
        <tr r="H360" s="2"/>
      </tp>
      <tp t="s">
        <v>#N/A Requesting Data...2653357189</v>
        <stp/>
        <stp>BDP|12784693144057833528</stp>
        <tr r="F209" s="2"/>
      </tp>
      <tp t="s">
        <v>#N/A Requesting Data...4216349860</v>
        <stp/>
        <stp>BDP|12709402437436231122</stp>
        <tr r="G178" s="2"/>
      </tp>
      <tp t="s">
        <v>#N/A Requesting Data...4103723291</v>
        <stp/>
        <stp>BDP|13265406134286727015</stp>
        <tr r="H231" s="2"/>
      </tp>
      <tp t="s">
        <v>#N/A Requesting Data...2663562928</v>
        <stp/>
        <stp>BDP|11201283461033941422</stp>
        <tr r="E115" s="2"/>
      </tp>
      <tp t="s">
        <v>#N/A Requesting Data...2713760124</v>
        <stp/>
        <stp>BDP|14720394147006288781</stp>
        <tr r="H112" s="2"/>
      </tp>
      <tp t="s">
        <v>#N/A Requesting Data...2493564276</v>
        <stp/>
        <stp>BDP|17111644110773195175</stp>
        <tr r="E320" s="2"/>
      </tp>
      <tp t="s">
        <v>#N/A Requesting Data...3726186374</v>
        <stp/>
        <stp>BDP|16160832500898985488</stp>
        <tr r="F17" s="2"/>
      </tp>
      <tp t="s">
        <v>#N/A Requesting Data...3575053923</v>
        <stp/>
        <stp>BDP|17752531133154013747</stp>
        <tr r="F158" s="2"/>
      </tp>
      <tp t="s">
        <v>#N/A Requesting Data...2625864408</v>
        <stp/>
        <stp>BDP|13149716950256226510</stp>
        <tr r="F553" s="2"/>
      </tp>
      <tp t="s">
        <v>#N/A Requesting Data...4020259416</v>
        <stp/>
        <stp>BDP|16785015713251579438</stp>
        <tr r="F123" s="2"/>
      </tp>
      <tp t="s">
        <v>#N/A Requesting Data...3159117026</v>
        <stp/>
        <stp>BDP|16213946827769252602</stp>
        <tr r="G124" s="2"/>
      </tp>
      <tp t="s">
        <v>#N/A Requesting Data...3883435486</v>
        <stp/>
        <stp>BDP|16663527613264304468</stp>
        <tr r="G72" s="2"/>
      </tp>
      <tp t="s">
        <v>#N/A Requesting Data...4291732577</v>
        <stp/>
        <stp>BDP|15317274327066360129</stp>
        <tr r="E540" s="2"/>
      </tp>
      <tp t="s">
        <v>#N/A Requesting Data...2579710830</v>
        <stp/>
        <stp>BDP|14084073411340392772</stp>
        <tr r="AB74" s="1"/>
      </tp>
      <tp t="s">
        <v>#N/A Requesting Data...2745169880</v>
        <stp/>
        <stp>BDP|10244477955144530771</stp>
        <tr r="H294" s="2"/>
      </tp>
      <tp t="s">
        <v>#N/A Requesting Data...4290044203</v>
        <stp/>
        <stp>BDP|13554527750671432011</stp>
        <tr r="G161" s="2"/>
      </tp>
      <tp t="s">
        <v>#N/A Requesting Data...2352500115</v>
        <stp/>
        <stp>BDP|10561089939703840297</stp>
        <tr r="AA34" s="1"/>
      </tp>
      <tp t="s">
        <v>#N/A Requesting Data...2745594630</v>
        <stp/>
        <stp>BDP|13981757349852388035</stp>
        <tr r="E476" s="2"/>
      </tp>
      <tp t="s">
        <v>#N/A Requesting Data...4115396153</v>
        <stp/>
        <stp>BDP|18353195398204005672</stp>
        <tr r="AA9" s="1"/>
      </tp>
      <tp t="s">
        <v>#N/A Requesting Data...4167268143</v>
        <stp/>
        <stp>BDP|16445783878843698771</stp>
        <tr r="F30" s="2"/>
      </tp>
      <tp t="s">
        <v>#N/A Requesting Data...3465958773</v>
        <stp/>
        <stp>BDP|14348750902080181117</stp>
        <tr r="E298" s="2"/>
      </tp>
      <tp t="s">
        <v>#N/A Requesting Data...2976663193</v>
        <stp/>
        <stp>BDP|14891164215483950567</stp>
        <tr r="E10" s="2"/>
      </tp>
      <tp t="s">
        <v>#N/A Requesting Data...3408989989</v>
        <stp/>
        <stp>BDP|10154394475574873211</stp>
        <tr r="G13" s="2"/>
      </tp>
      <tp t="s">
        <v>#N/A Requesting Data...3549536867</v>
        <stp/>
        <stp>BDP|13101089612361742188</stp>
        <tr r="E151" s="2"/>
      </tp>
      <tp t="s">
        <v>#N/A Requesting Data...3816465610</v>
        <stp/>
        <stp>BDP|11080189919114117744</stp>
        <tr r="F364" s="2"/>
      </tp>
      <tp t="s">
        <v>#N/A Requesting Data...3723825689</v>
        <stp/>
        <stp>BDP|16841357528107941282</stp>
        <tr r="AB13" s="1"/>
      </tp>
      <tp t="s">
        <v>#N/A Requesting Data...2987312849</v>
        <stp/>
        <stp>BDP|16728818072542168927</stp>
        <tr r="H59" s="2"/>
      </tp>
      <tp t="s">
        <v>#N/A Requesting Data...2844597503</v>
        <stp/>
        <stp>BDP|14776818389712955411</stp>
        <tr r="H130" s="2"/>
      </tp>
      <tp t="s">
        <v>#N/A Requesting Data...2569475102</v>
        <stp/>
        <stp>BDP|11841092139340994060</stp>
        <tr r="AB34" s="1"/>
      </tp>
      <tp t="s">
        <v>#N/A Requesting Data...3704230146</v>
        <stp/>
        <stp>BDP|12344326025772610356</stp>
        <tr r="F464" s="2"/>
      </tp>
      <tp t="s">
        <v>#N/A Requesting Data...3351047002</v>
        <stp/>
        <stp>BDP|13772470614471500565</stp>
        <tr r="F454" s="2"/>
      </tp>
      <tp t="s">
        <v>#N/A Requesting Data...2821310091</v>
        <stp/>
        <stp>BDP|10530492118532390508</stp>
        <tr r="G58" s="2"/>
      </tp>
      <tp t="s">
        <v>#N/A Requesting Data...3751386443</v>
        <stp/>
        <stp>BDP|11299568779964956539</stp>
        <tr r="AA31" s="1"/>
      </tp>
      <tp t="s">
        <v>#N/A Requesting Data...2495618098</v>
        <stp/>
        <stp>BDP|10500000013203788071</stp>
        <tr r="G225" s="2"/>
      </tp>
      <tp t="s">
        <v>#N/A Requesting Data...3509208182</v>
        <stp/>
        <stp>BDP|17632722129631826138</stp>
        <tr r="F194" s="2"/>
      </tp>
      <tp t="s">
        <v>#N/A Requesting Data...3274292627</v>
        <stp/>
        <stp>BDP|15229757106309489939</stp>
        <tr r="H102" s="2"/>
      </tp>
      <tp t="s">
        <v>#N/A Requesting Data...3761000393</v>
        <stp/>
        <stp>BDP|17922121291959102528</stp>
        <tr r="F13" s="2"/>
      </tp>
      <tp t="s">
        <v>#N/A Requesting Data...3273012293</v>
        <stp/>
        <stp>BDP|13736180670614303254</stp>
        <tr r="E618" s="2"/>
      </tp>
      <tp t="s">
        <v>#N/A Requesting Data...4205162337</v>
        <stp/>
        <stp>BDP|17335485307524343467</stp>
        <tr r="H413" s="2"/>
      </tp>
      <tp t="s">
        <v>#N/A Requesting Data...3030795460</v>
        <stp/>
        <stp>BDP|15807965943463414807</stp>
        <tr r="E270" s="2"/>
      </tp>
      <tp t="s">
        <v>#N/A Requesting Data...3408256906</v>
        <stp/>
        <stp>BDP|14585036246174128789</stp>
        <tr r="F397" s="2"/>
      </tp>
      <tp t="s">
        <v>#N/A Requesting Data...3343413190</v>
        <stp/>
        <stp>BDP|13991855686140781058</stp>
        <tr r="E584" s="2"/>
      </tp>
      <tp t="s">
        <v>#N/A Requesting Data...3612102042</v>
        <stp/>
        <stp>BDP|13159486549499870903</stp>
        <tr r="H206" s="2"/>
      </tp>
      <tp t="s">
        <v>#N/A Requesting Data...3312930659</v>
        <stp/>
        <stp>BDP|15131920309036455963</stp>
        <tr r="H624" s="2"/>
      </tp>
      <tp t="s">
        <v>#N/A Requesting Data...4292526581</v>
        <stp/>
        <stp>BDP|12923847693567302755</stp>
        <tr r="H66" s="2"/>
      </tp>
      <tp t="s">
        <v>#N/A Requesting Data...3699313972</v>
        <stp/>
        <stp>BDP|12338536035905850262</stp>
        <tr r="G555" s="2"/>
      </tp>
      <tp t="s">
        <v>#N/A Requesting Data...2932833904</v>
        <stp/>
        <stp>BDP|13544803241574695890</stp>
        <tr r="H77" s="2"/>
      </tp>
      <tp t="s">
        <v>#N/A Requesting Data...3671213053</v>
        <stp/>
        <stp>BDP|12478538887224913823</stp>
        <tr r="F512" s="2"/>
      </tp>
      <tp t="s">
        <v>#N/A Requesting Data...4202457135</v>
        <stp/>
        <stp>BDP|14887140697359971692</stp>
        <tr r="G562" s="2"/>
      </tp>
      <tp t="s">
        <v>#N/A Requesting Data...2551524350</v>
        <stp/>
        <stp>BDP|15775366165956815574</stp>
        <tr r="AA55" s="1"/>
      </tp>
      <tp t="s">
        <v>#N/A Requesting Data...4290339920</v>
        <stp/>
        <stp>BDP|12836879754008676460</stp>
        <tr r="E520" s="2"/>
      </tp>
      <tp t="s">
        <v>#N/A Requesting Data...3810260726</v>
        <stp/>
        <stp>BDP|18253438570931943937</stp>
        <tr r="E177" s="2"/>
      </tp>
      <tp t="s">
        <v>#N/A Requesting Data...3758430592</v>
        <stp/>
        <stp>BDP|13045717318011369710</stp>
        <tr r="E17" s="2"/>
      </tp>
      <tp t="s">
        <v>#N/A Requesting Data...2814700147</v>
        <stp/>
        <stp>BDP|15749067233652157798</stp>
        <tr r="AB17" s="1"/>
      </tp>
      <tp t="s">
        <v>#N/A Requesting Data...3978812470</v>
        <stp/>
        <stp>BDP|17157561636806982426</stp>
        <tr r="F5" s="2"/>
      </tp>
      <tp t="s">
        <v>#N/A Requesting Data...4079357480</v>
        <stp/>
        <stp>BDP|12802830560526529946</stp>
        <tr r="H348" s="2"/>
      </tp>
      <tp t="s">
        <v>#N/A Requesting Data...3550875814</v>
        <stp/>
        <stp>BDP|16905083357415546597</stp>
        <tr r="F534" s="2"/>
      </tp>
      <tp t="s">
        <v>#N/A Requesting Data...3022135621</v>
        <stp/>
        <stp>BDP|16651229409980754776</stp>
        <tr r="E267" s="2"/>
      </tp>
      <tp t="s">
        <v>#N/A Requesting Data...3524615317</v>
        <stp/>
        <stp>BDP|11168069694682699999</stp>
        <tr r="F578" s="2"/>
      </tp>
      <tp t="s">
        <v>#N/A Requesting Data...2418040604</v>
        <stp/>
        <stp>BDP|15626410059625387213</stp>
        <tr r="AA102" s="1"/>
      </tp>
      <tp t="s">
        <v>#N/A Requesting Data...3399821914</v>
        <stp/>
        <stp>BDP|16447621977147794390</stp>
        <tr r="G126" s="2"/>
      </tp>
      <tp t="s">
        <v>#N/A Requesting Data...2680148300</v>
        <stp/>
        <stp>BDP|17588384210906377012</stp>
        <tr r="H493" s="2"/>
      </tp>
      <tp t="s">
        <v>#N/A Requesting Data...3787256075</v>
        <stp/>
        <stp>BDP|18118510129465317953</stp>
        <tr r="G50" s="2"/>
      </tp>
      <tp t="s">
        <v>#N/A Requesting Data...3204171285</v>
        <stp/>
        <stp>BDP|15989831408836807857</stp>
        <tr r="H293" s="2"/>
      </tp>
      <tp t="s">
        <v>#N/A Requesting Data...2557446735</v>
        <stp/>
        <stp>BDP|12877178215866733721</stp>
        <tr r="F360" s="2"/>
      </tp>
      <tp t="s">
        <v>#N/A Requesting Data...3236524855</v>
        <stp/>
        <stp>BDP|17730977399863566721</stp>
        <tr r="H471" s="2"/>
      </tp>
      <tp t="s">
        <v>#N/A Requesting Data...3745500564</v>
        <stp/>
        <stp>BDP|13189452959671601053</stp>
        <tr r="F42" s="2"/>
      </tp>
      <tp t="s">
        <v>#N/A Requesting Data...3631763031</v>
        <stp/>
        <stp>BDP|10944721762534571629</stp>
        <tr r="F287" s="2"/>
      </tp>
      <tp t="s">
        <v>#N/A Requesting Data...3368203436</v>
        <stp/>
        <stp>BDP|12268534428996649012</stp>
        <tr r="G313" s="2"/>
      </tp>
      <tp t="s">
        <v>#N/A Requesting Data...2452542041</v>
        <stp/>
        <stp>BDP|16845476862974147323</stp>
        <tr r="G506" s="2"/>
      </tp>
      <tp t="s">
        <v>#N/A Requesting Data...2656126693</v>
        <stp/>
        <stp>BDP|17411454006568909802</stp>
        <tr r="G211" s="2"/>
      </tp>
      <tp t="s">
        <v>#N/A Requesting Data...2564719039</v>
        <stp/>
        <stp>BDP|17962130552803257349</stp>
        <tr r="H583" s="2"/>
      </tp>
      <tp t="s">
        <v>#N/A Requesting Data...3530186849</v>
        <stp/>
        <stp>BDP|10074440868468526977</stp>
        <tr r="H380" s="2"/>
      </tp>
      <tp t="s">
        <v>#N/A Requesting Data...3600959058</v>
        <stp/>
        <stp>BDP|17078592895190758857</stp>
        <tr r="Z19" s="1"/>
      </tp>
      <tp t="s">
        <v>#N/A Requesting Data...3115617465</v>
        <stp/>
        <stp>BDP|10871415515582206403</stp>
        <tr r="H195" s="2"/>
      </tp>
      <tp t="s">
        <v>#N/A Requesting Data...2578565321</v>
        <stp/>
        <stp>BDP|18069356482952779214</stp>
        <tr r="E420" s="2"/>
      </tp>
      <tp t="s">
        <v>#N/A Requesting Data...3088242230</v>
        <stp/>
        <stp>BDP|10138692520087179088</stp>
        <tr r="F33" s="2"/>
      </tp>
      <tp t="s">
        <v>#N/A Requesting Data...2755934989</v>
        <stp/>
        <stp>BDP|15768368657099167966</stp>
        <tr r="H565" s="2"/>
      </tp>
      <tp t="s">
        <v>#N/A Requesting Data...3333489276</v>
        <stp/>
        <stp>BDP|16428254378393003389</stp>
        <tr r="AA26" s="1"/>
      </tp>
      <tp t="s">
        <v>#N/A Requesting Data...3033987006</v>
        <stp/>
        <stp>BDP|16552712634690830193</stp>
        <tr r="F447" s="2"/>
      </tp>
      <tp t="s">
        <v>#N/A Requesting Data...3001707214</v>
        <stp/>
        <stp>BDP|13311475714333603677</stp>
        <tr r="E552" s="2"/>
      </tp>
      <tp t="s">
        <v>#N/A Requesting Data...2734708696</v>
        <stp/>
        <stp>BDP|15071416111172898180</stp>
        <tr r="E93" s="2"/>
      </tp>
      <tp t="s">
        <v>#N/A Requesting Data...3676193572</v>
        <stp/>
        <stp>BDP|15200813661971527976</stp>
        <tr r="E158" s="2"/>
      </tp>
      <tp t="s">
        <v>#N/A Requesting Data...3733055787</v>
        <stp/>
        <stp>BDP|11280724477677276550</stp>
        <tr r="E108" s="2"/>
      </tp>
      <tp t="s">
        <v>#N/A Requesting Data...3381603470</v>
        <stp/>
        <stp>BDP|11084734005552501734</stp>
        <tr r="H74" s="2"/>
      </tp>
      <tp t="s">
        <v>#N/A Requesting Data...4154887893</v>
        <stp/>
        <stp>BDP|15435947467379128064</stp>
        <tr r="H374" s="2"/>
      </tp>
      <tp t="s">
        <v>#N/A Requesting Data...3570831480</v>
        <stp/>
        <stp>BDP|17984236469363180324</stp>
        <tr r="E8" s="2"/>
      </tp>
      <tp t="s">
        <v>#N/A Requesting Data...2883537317</v>
        <stp/>
        <stp>BDP|11435650034223209471</stp>
        <tr r="F167" s="2"/>
      </tp>
      <tp t="s">
        <v>#N/A Requesting Data...4214974845</v>
        <stp/>
        <stp>BDP|10564810864225177813</stp>
        <tr r="G216" s="2"/>
      </tp>
      <tp t="s">
        <v>#N/A Requesting Data...4001736983</v>
        <stp/>
        <stp>BDP|13173167314022022203</stp>
        <tr r="F362" s="2"/>
      </tp>
      <tp t="s">
        <v>#N/A Requesting Data...4156117362</v>
        <stp/>
        <stp>BDP|13303141184720053905</stp>
        <tr r="H529" s="2"/>
        <tr r="H632" s="2"/>
        <tr r="H636" s="2"/>
      </tp>
      <tp t="s">
        <v>#N/A Requesting Data...2609965854</v>
        <stp/>
        <stp>BDP|16730910463658422221</stp>
        <tr r="H488" s="2"/>
      </tp>
      <tp t="s">
        <v>#N/A Requesting Data...3625845157</v>
        <stp/>
        <stp>BDP|12709126062932224468</stp>
        <tr r="H439" s="2"/>
      </tp>
      <tp t="s">
        <v>#N/A Requesting Data...2526211236</v>
        <stp/>
        <stp>BDP|10870812475218624490</stp>
        <tr r="AA38" s="1"/>
      </tp>
      <tp t="s">
        <v>#N/A Requesting Data...4020468587</v>
        <stp/>
        <stp>BDP|17055808872178259322</stp>
        <tr r="H513" s="2"/>
      </tp>
      <tp t="s">
        <v>#N/A Requesting Data...3565288830</v>
        <stp/>
        <stp>BDP|17108662870955525000</stp>
        <tr r="H335" s="2"/>
      </tp>
      <tp t="s">
        <v>#N/A Requesting Data...4043270194</v>
        <stp/>
        <stp>BDP|15433892168759395143</stp>
        <tr r="F253" s="2"/>
      </tp>
      <tp t="s">
        <v>#N/A Requesting Data...3165333230</v>
        <stp/>
        <stp>BDP|17592097386894832804</stp>
        <tr r="H403" s="2"/>
      </tp>
      <tp t="s">
        <v>#N/A Requesting Data...4093222912</v>
        <stp/>
        <stp>BDP|11490407547912260030</stp>
        <tr r="F470" s="2"/>
      </tp>
      <tp t="s">
        <v>#N/A Requesting Data...4122524345</v>
        <stp/>
        <stp>BDP|12848751144113267195</stp>
        <tr r="F598" s="2"/>
      </tp>
      <tp t="s">
        <v>#N/A Requesting Data...3307265672</v>
        <stp/>
        <stp>BDP|11732334158502768692</stp>
        <tr r="G267" s="2"/>
      </tp>
      <tp t="s">
        <v>#N/A Requesting Data...2709083528</v>
        <stp/>
        <stp>BDP|16778472156690394407</stp>
        <tr r="H424" s="2"/>
      </tp>
      <tp t="s">
        <v>#N/A Requesting Data...2893747641</v>
        <stp/>
        <stp>BDP|16055248530406977283</stp>
        <tr r="F94" s="2"/>
      </tp>
      <tp t="s">
        <v>#N/A Requesting Data...3338161895</v>
        <stp/>
        <stp>BDP|15272952621329458473</stp>
        <tr r="E436" s="2"/>
      </tp>
      <tp t="s">
        <v>#N/A Requesting Data...3530980319</v>
        <stp/>
        <stp>BDP|15389858012257972885</stp>
        <tr r="H444" s="2"/>
      </tp>
      <tp t="s">
        <v>#N/A Requesting Data...3052298268</v>
        <stp/>
        <stp>BDP|14100372492558216531</stp>
        <tr r="F411" s="2"/>
      </tp>
      <tp t="s">
        <v>#N/A Requesting Data...3116295377</v>
        <stp/>
        <stp>BDP|16067065885885490825</stp>
        <tr r="H58" s="2"/>
      </tp>
      <tp t="s">
        <v>#N/A Requesting Data...3556822935</v>
        <stp/>
        <stp>BDP|16399206761106782703</stp>
        <tr r="G547" s="2"/>
      </tp>
      <tp t="s">
        <v>#N/A Requesting Data...4187224474</v>
        <stp/>
        <stp>BDP|18190324983101072143</stp>
        <tr r="H250" s="2"/>
      </tp>
      <tp t="s">
        <v>#N/A Requesting Data...3641811293</v>
        <stp/>
        <stp>BDP|14246258733504666269</stp>
        <tr r="E213" s="2"/>
      </tp>
      <tp t="s">
        <v>#N/A Requesting Data...3318540248</v>
        <stp/>
        <stp>BDP|11967659079700152308</stp>
        <tr r="G223" s="2"/>
      </tp>
      <tp t="s">
        <v>#N/A Requesting Data...3362406603</v>
        <stp/>
        <stp>BDP|18033084388376003540</stp>
        <tr r="G93" s="2"/>
      </tp>
      <tp t="s">
        <v>#N/A Requesting Data...3930768061</v>
        <stp/>
        <stp>BDP|16649719343254491278</stp>
        <tr r="Z68" s="1"/>
      </tp>
      <tp t="s">
        <v>#N/A Requesting Data...3286100705</v>
        <stp/>
        <stp>BDP|13708922185266664716</stp>
        <tr r="F60" s="2"/>
      </tp>
      <tp t="s">
        <v>#N/A Requesting Data...4237020268</v>
        <stp/>
        <stp>BDP|16443052790415312953</stp>
        <tr r="G387" s="2"/>
      </tp>
      <tp t="s">
        <v>#N/A Requesting Data...2713369797</v>
        <stp/>
        <stp>BDP|13823986093247257764</stp>
        <tr r="F72" s="2"/>
      </tp>
      <tp t="s">
        <v>#N/A Requesting Data...3991168639</v>
        <stp/>
        <stp>BDP|10438655159347960766</stp>
        <tr r="G102" s="2"/>
      </tp>
      <tp t="s">
        <v>#N/A Requesting Data...2439396356</v>
        <stp/>
        <stp>BDP|15286280248036009643</stp>
        <tr r="H370" s="2"/>
      </tp>
      <tp t="s">
        <v>#N/A Requesting Data...3150990302</v>
        <stp/>
        <stp>BDP|16327995736466908938</stp>
        <tr r="E409" s="2"/>
      </tp>
      <tp t="s">
        <v>#N/A Requesting Data...2438709993</v>
        <stp/>
        <stp>BDP|11050143834606433629</stp>
        <tr r="H140" s="2"/>
      </tp>
      <tp t="s">
        <v>#N/A Requesting Data...2751112918</v>
        <stp/>
        <stp>BDP|13834198242110473513</stp>
        <tr r="F579" s="2"/>
      </tp>
      <tp t="s">
        <v>#N/A Requesting Data...2654442606</v>
        <stp/>
        <stp>BDP|11716527627604236161</stp>
        <tr r="G276" s="2"/>
      </tp>
      <tp t="s">
        <v>#N/A Requesting Data...3986868154</v>
        <stp/>
        <stp>BDP|16688535672435800299</stp>
        <tr r="F391" s="2"/>
      </tp>
      <tp t="s">
        <v>#N/A Requesting Data...3444429035</v>
        <stp/>
        <stp>BDP|13049611629361861560</stp>
        <tr r="AB95" s="1"/>
      </tp>
      <tp t="s">
        <v>#N/A Requesting Data...2692896576</v>
        <stp/>
        <stp>BDP|10130969591986710575</stp>
        <tr r="G425" s="2"/>
      </tp>
      <tp t="s">
        <v>#N/A Requesting Data...3345589519</v>
        <stp/>
        <stp>BDP|17081542022364669769</stp>
        <tr r="E550" s="2"/>
      </tp>
      <tp t="s">
        <v>#N/A Requesting Data...3956486120</v>
        <stp/>
        <stp>BDP|15276584044254847300</stp>
        <tr r="F441" s="2"/>
      </tp>
      <tp t="s">
        <v>#N/A Requesting Data...3170729738</v>
        <stp/>
        <stp>BDP|12081567344223213092</stp>
        <tr r="F384" s="2"/>
      </tp>
      <tp t="s">
        <v>#N/A Requesting Data...3192836156</v>
        <stp/>
        <stp>BDP|18042649166979805137</stp>
        <tr r="H453" s="2"/>
      </tp>
      <tp t="s">
        <v>#N/A Requesting Data...4137423289</v>
        <stp/>
        <stp>BDP|14249703705077826464</stp>
        <tr r="G393" s="2"/>
      </tp>
      <tp t="s">
        <v>#N/A Requesting Data...3121970132</v>
        <stp/>
        <stp>BDP|17323098927814650122</stp>
        <tr r="AB60" s="1"/>
      </tp>
      <tp t="s">
        <v>#N/A Requesting Data...2700448023</v>
        <stp/>
        <stp>BDP|14800257531910502515</stp>
        <tr r="E280" s="2"/>
      </tp>
      <tp t="s">
        <v>#N/A Requesting Data...3072713898</v>
        <stp/>
        <stp>BDP|16047370729971622605</stp>
        <tr r="G104" s="2"/>
      </tp>
      <tp t="s">
        <v>#N/A Requesting Data...4287076825</v>
        <stp/>
        <stp>BDP|12444086475955018013</stp>
        <tr r="E311" s="2"/>
      </tp>
      <tp t="s">
        <v>#N/A Requesting Data...2731621748</v>
        <stp/>
        <stp>BDP|13590083331844377478</stp>
        <tr r="H429" s="2"/>
      </tp>
      <tp t="s">
        <v>#N/A Requesting Data...3677664045</v>
        <stp/>
        <stp>BDP|11658580806747468348</stp>
        <tr r="E58" s="2"/>
      </tp>
      <tp t="s">
        <v>#N/A Requesting Data...3630594931</v>
        <stp/>
        <stp>BDP|13731825398463441110</stp>
        <tr r="G190" s="2"/>
      </tp>
      <tp t="s">
        <v>#N/A Requesting Data...3540545125</v>
        <stp/>
        <stp>BDP|14991838597537031253</stp>
        <tr r="H604" s="2"/>
      </tp>
      <tp t="s">
        <v>#N/A Requesting Data...3358194245</v>
        <stp/>
        <stp>BDP|13925693946161583083</stp>
        <tr r="H536" s="2"/>
      </tp>
      <tp t="s">
        <v>#N/A Requesting Data...4024537438</v>
        <stp/>
        <stp>BDP|15042039139435136307</stp>
        <tr r="Z60" s="1"/>
      </tp>
      <tp t="s">
        <v>#N/A Requesting Data...4096213002</v>
        <stp/>
        <stp>BDP|13386787272752286102</stp>
        <tr r="G194" s="2"/>
      </tp>
      <tp t="s">
        <v>#N/A Requesting Data...2784639349</v>
        <stp/>
        <stp>BDP|11950208613906434450</stp>
        <tr r="H190" s="2"/>
      </tp>
      <tp t="s">
        <v>#N/A Requesting Data...4176607645</v>
        <stp/>
        <stp>BDP|13081593151225171628</stp>
        <tr r="H372" s="2"/>
      </tp>
      <tp t="s">
        <v>#N/A Requesting Data...3646575668</v>
        <stp/>
        <stp>BDP|14168462619246767731</stp>
        <tr r="G275" s="2"/>
      </tp>
      <tp t="s">
        <v>#N/A Requesting Data...3734880209</v>
        <stp/>
        <stp>BDP|18442699267481073908</stp>
        <tr r="F21" s="2"/>
      </tp>
      <tp t="s">
        <v>#N/A Requesting Data...2731641060</v>
        <stp/>
        <stp>BDP|11052698127843689654</stp>
        <tr r="E144" s="2"/>
      </tp>
      <tp t="s">
        <v>#N/A Requesting Data...2491110808</v>
        <stp/>
        <stp>BDP|12070198933190226053</stp>
        <tr r="G141" s="2"/>
      </tp>
      <tp t="s">
        <v>#N/A Requesting Data...3027656916</v>
        <stp/>
        <stp>BDP|13275685346564032519</stp>
        <tr r="F218" s="2"/>
      </tp>
      <tp t="s">
        <v>#N/A Requesting Data...2607303117</v>
        <stp/>
        <stp>BDP|11633402249324498567</stp>
        <tr r="G421" s="2"/>
      </tp>
      <tp t="s">
        <v>#N/A Requesting Data...2856055659</v>
        <stp/>
        <stp>BDP|11361626256185937736</stp>
        <tr r="E292" s="2"/>
      </tp>
      <tp t="s">
        <v>#N/A Requesting Data...3675947978</v>
        <stp/>
        <stp>BDP|18060667462900826801</stp>
        <tr r="F168" s="2"/>
      </tp>
      <tp t="s">
        <v>#N/A Requesting Data...2712201375</v>
        <stp/>
        <stp>BDP|15828036136805260330</stp>
        <tr r="F425" s="2"/>
      </tp>
      <tp t="s">
        <v>#N/A Requesting Data...3211987063</v>
        <stp/>
        <stp>BDP|13849655505417231266</stp>
        <tr r="G111" s="2"/>
      </tp>
      <tp t="s">
        <v>#N/A Requesting Data...2978854904</v>
        <stp/>
        <stp>BDP|10960873336792461901</stp>
        <tr r="H82" s="2"/>
      </tp>
      <tp t="s">
        <v>#N/A Requesting Data...3355223960</v>
        <stp/>
        <stp>BDP|17001328489319085576</stp>
        <tr r="F211" s="2"/>
      </tp>
      <tp t="s">
        <v>#N/A Requesting Data...3876498012</v>
        <stp/>
        <stp>BDP|17889329739607605093</stp>
        <tr r="G131" s="2"/>
      </tp>
      <tp t="s">
        <v>#N/A Requesting Data...2992406393</v>
        <stp/>
        <stp>BDP|12672796592709306522</stp>
        <tr r="H135" s="2"/>
      </tp>
      <tp t="s">
        <v>#N/A Requesting Data...2866554043</v>
        <stp/>
        <stp>BDP|12884003941336058064</stp>
        <tr r="G587" s="2"/>
      </tp>
      <tp t="s">
        <v>#N/A Requesting Data...3740281790</v>
        <stp/>
        <stp>BDP|10661291572236714359</stp>
        <tr r="F131" s="2"/>
      </tp>
      <tp t="s">
        <v>#N/A Requesting Data...3735287320</v>
        <stp/>
        <stp>BDP|17245956599122381529</stp>
        <tr r="F532" s="2"/>
      </tp>
      <tp t="s">
        <v>#N/A Requesting Data...3192038553</v>
        <stp/>
        <stp>BDP|15437644850717686198</stp>
        <tr r="E312" s="2"/>
      </tp>
      <tp t="s">
        <v>#N/A Requesting Data...3812994244</v>
        <stp/>
        <stp>BDP|11032604436674020093</stp>
        <tr r="H582" s="2"/>
      </tp>
      <tp t="s">
        <v>#N/A Requesting Data...3834734937</v>
        <stp/>
        <stp>BDP|14265852768148213221</stp>
        <tr r="H144" s="2"/>
      </tp>
      <tp t="s">
        <v>#N/A Requesting Data...4189616467</v>
        <stp/>
        <stp>BDP|10957563645402708339</stp>
        <tr r="H492" s="2"/>
      </tp>
      <tp t="s">
        <v>#N/A Requesting Data...3495375767</v>
        <stp/>
        <stp>BDP|14666086778242815109</stp>
        <tr r="H347" s="2"/>
      </tp>
      <tp t="s">
        <v>#N/A Requesting Data...3903272131</v>
        <stp/>
        <stp>BDP|12876575362521532067</stp>
        <tr r="F587" s="2"/>
      </tp>
      <tp t="s">
        <v>#N/A Requesting Data...4221143883</v>
        <stp/>
        <stp>BDP|15267106464650004284</stp>
        <tr r="G41" s="2"/>
      </tp>
      <tp t="s">
        <v>#N/A Requesting Data...3346129223</v>
        <stp/>
        <stp>BDP|17815408749082810578</stp>
        <tr r="G464" s="2"/>
      </tp>
      <tp t="s">
        <v>#N/A Requesting Data...2736596267</v>
        <stp/>
        <stp>BDP|17524168506372700435</stp>
        <tr r="H591" s="2"/>
      </tp>
      <tp t="s">
        <v>#N/A Requesting Data...3643287349</v>
        <stp/>
        <stp>BDP|16430363435090274645</stp>
        <tr r="H15" s="2"/>
      </tp>
      <tp t="s">
        <v>#N/A Requesting Data...3496337502</v>
        <stp/>
        <stp>BDP|13821536019071018634</stp>
        <tr r="F16" s="2"/>
      </tp>
      <tp t="s">
        <v>#N/A Requesting Data...3057337161</v>
        <stp/>
        <stp>BDP|11105764814294520374</stp>
        <tr r="AB44" s="1"/>
      </tp>
      <tp t="s">
        <v>#N/A Requesting Data...4204779699</v>
        <stp/>
        <stp>BDP|14206487919173424260</stp>
        <tr r="E264" s="2"/>
      </tp>
      <tp t="s">
        <v>#N/A Requesting Data...3203235334</v>
        <stp/>
        <stp>BDP|14069851871302386977</stp>
        <tr r="E288" s="2"/>
      </tp>
      <tp t="s">
        <v>#N/A Requesting Data...3850949691</v>
        <stp/>
        <stp>BDP|11630651945150123378</stp>
        <tr r="E551" s="2"/>
      </tp>
      <tp t="s">
        <v>#N/A Requesting Data...3239099763</v>
        <stp/>
        <stp>BDP|17334734840697740377</stp>
        <tr r="H162" s="2"/>
      </tp>
      <tp t="s">
        <v>#N/A Requesting Data...3503405621</v>
        <stp/>
        <stp>BDP|10607252152524326325</stp>
        <tr r="H614" s="2"/>
      </tp>
      <tp t="s">
        <v>#N/A Requesting Data...2773016620</v>
        <stp/>
        <stp>BDP|13059412332320027431</stp>
        <tr r="E590" s="2"/>
      </tp>
      <tp t="s">
        <v>#N/A Requesting Data...3980630232</v>
        <stp/>
        <stp>BDP|17658135597069230604</stp>
        <tr r="H276" s="2"/>
      </tp>
      <tp t="s">
        <v>#N/A Requesting Data...3157580398</v>
        <stp/>
        <stp>BDP|17736584214645885600</stp>
        <tr r="H580" s="2"/>
      </tp>
      <tp t="s">
        <v>#N/A Requesting Data...4078664598</v>
        <stp/>
        <stp>BDP|14117779325555789472</stp>
        <tr r="E529" s="2"/>
        <tr r="E632" s="2"/>
        <tr r="E636" s="2"/>
      </tp>
      <tp t="s">
        <v>#N/A Requesting Data...2990757058</v>
        <stp/>
        <stp>BDP|14985596865734104363</stp>
        <tr r="G446" s="2"/>
      </tp>
      <tp t="s">
        <v>#N/A Requesting Data...3281319427</v>
        <stp/>
        <stp>BDP|13118058157637110101</stp>
        <tr r="H401" s="2"/>
      </tp>
      <tp t="s">
        <v>#N/A Requesting Data...3292994665</v>
        <stp/>
        <stp>BDP|16717796942201625489</stp>
        <tr r="F409" s="2"/>
      </tp>
      <tp t="s">
        <v>#N/A Requesting Data...3870313352</v>
        <stp/>
        <stp>BDP|11525429177864770658</stp>
        <tr r="G100" s="2"/>
      </tp>
      <tp t="s">
        <v>#N/A Requesting Data...3028058874</v>
        <stp/>
        <stp>BDP|16931727593651824923</stp>
        <tr r="G8" s="2"/>
      </tp>
      <tp t="s">
        <v>#N/A Requesting Data...3580629434</v>
        <stp/>
        <stp>BDP|11012097318669372907</stp>
        <tr r="H247" s="2"/>
      </tp>
      <tp t="s">
        <v>#N/A Requesting Data...2712943895</v>
        <stp/>
        <stp>BDP|11499514518252631799</stp>
        <tr r="G297" s="2"/>
      </tp>
      <tp t="s">
        <v>#N/A Requesting Data...4001674752</v>
        <stp/>
        <stp>BDP|16832334066332800170</stp>
        <tr r="G157" s="2"/>
      </tp>
      <tp t="s">
        <v>#N/A Requesting Data...4159835901</v>
        <stp/>
        <stp>BDP|10381156671184124234</stp>
        <tr r="F506" s="2"/>
      </tp>
      <tp t="s">
        <v>#N/A Requesting Data...2541683203</v>
        <stp/>
        <stp>BDP|18243672116957563831</stp>
        <tr r="F514" s="2"/>
      </tp>
      <tp t="s">
        <v>#N/A Requesting Data...2751019882</v>
        <stp/>
        <stp>BDP|18170179327062669926</stp>
        <tr r="Z13" s="1"/>
      </tp>
      <tp t="s">
        <v>#N/A Requesting Data...2543711485</v>
        <stp/>
        <stp>BDP|11699270121753204270</stp>
        <tr r="F600" s="2"/>
      </tp>
      <tp t="s">
        <v>#N/A Requesting Data...2642898900</v>
        <stp/>
        <stp>BDP|11911593505800927496</stp>
        <tr r="H611" s="2"/>
      </tp>
      <tp t="s">
        <v>#N/A Requesting Data...4056935310</v>
        <stp/>
        <stp>BDP|15616657831847519722</stp>
        <tr r="Z87" s="1"/>
      </tp>
      <tp t="s">
        <v>#N/A Requesting Data...3082756173</v>
        <stp/>
        <stp>BDP|10530256725258820888</stp>
        <tr r="F476" s="2"/>
      </tp>
      <tp t="s">
        <v>#N/A Requesting Data...2906257707</v>
        <stp/>
        <stp>BDP|13264326846606151222</stp>
        <tr r="H345" s="2"/>
      </tp>
      <tp t="s">
        <v>#N/A Requesting Data...3199195069</v>
        <stp/>
        <stp>BDP|11294235886222284907</stp>
        <tr r="G36" s="2"/>
      </tp>
      <tp t="s">
        <v>#N/A Requesting Data...3624065747</v>
        <stp/>
        <stp>BDP|18130831034305361603</stp>
        <tr r="AA28" s="1"/>
      </tp>
      <tp t="s">
        <v>#N/A Requesting Data...2686389880</v>
        <stp/>
        <stp>BDP|14956781820356179754</stp>
        <tr r="E445" s="2"/>
      </tp>
      <tp t="s">
        <v>#N/A Requesting Data...3751561003</v>
        <stp/>
        <stp>BDP|18274378927321089864</stp>
        <tr r="E141" s="2"/>
      </tp>
      <tp t="s">
        <v>#N/A Requesting Data...2617922757</v>
        <stp/>
        <stp>BDP|15781087759853548374</stp>
        <tr r="F182" s="2"/>
      </tp>
      <tp t="s">
        <v>#N/A Requesting Data...2631031463</v>
        <stp/>
        <stp>BDP|16000127953106753425</stp>
        <tr r="G15" s="2"/>
      </tp>
      <tp t="s">
        <v>#N/A Requesting Data...2965384991</v>
        <stp/>
        <stp>BDP|15592725192123586841</stp>
        <tr r="E473" s="2"/>
      </tp>
      <tp t="s">
        <v>#N/A Requesting Data...2915216641</v>
        <stp/>
        <stp>BDP|12076375658255216195</stp>
        <tr r="F259" s="2"/>
      </tp>
      <tp t="s">
        <v>#N/A Requesting Data...3306408744</v>
        <stp/>
        <stp>BDP|15389424777660513640</stp>
        <tr r="H425" s="2"/>
      </tp>
      <tp t="s">
        <v>#N/A Requesting Data...3045873710</v>
        <stp/>
        <stp>BDP|17131371371812634162</stp>
        <tr r="G402" s="2"/>
      </tp>
      <tp t="s">
        <v>#N/A Requesting Data...4048491482</v>
        <stp/>
        <stp>BDP|15963275996249923769</stp>
        <tr r="F196" s="2"/>
      </tp>
      <tp t="s">
        <v>#N/A Requesting Data...2746676143</v>
        <stp/>
        <stp>BDP|12479799550335271583</stp>
        <tr r="F373" s="2"/>
      </tp>
      <tp t="s">
        <v>#N/A Requesting Data...4069104659</v>
        <stp/>
        <stp>BDP|11134553649185973539</stp>
        <tr r="F118" s="2"/>
      </tp>
      <tp t="s">
        <v>#N/A Requesting Data...3591156822</v>
        <stp/>
        <stp>BDP|12663029032517357623</stp>
        <tr r="AA39" s="1"/>
      </tp>
      <tp t="s">
        <v>#N/A Requesting Data...3569095693</v>
        <stp/>
        <stp>BDP|12147173765347133254</stp>
        <tr r="H18" s="2"/>
        <tr r="H45" s="2"/>
      </tp>
      <tp t="s">
        <v>#N/A Requesting Data...3811827032</v>
        <stp/>
        <stp>BDP|10264310651325069351</stp>
        <tr r="H234" s="2"/>
      </tp>
      <tp t="s">
        <v>#N/A Requesting Data...2945483457</v>
        <stp/>
        <stp>BDP|13212876967534423908</stp>
        <tr r="H515" s="2"/>
      </tp>
      <tp t="s">
        <v>#N/A Requesting Data...3845473247</v>
        <stp/>
        <stp>BDP|10122307500376692512</stp>
        <tr r="G603" s="2"/>
      </tp>
      <tp t="s">
        <v>#N/A Requesting Data...2768094749</v>
        <stp/>
        <stp>BDP|11091204860847512235</stp>
        <tr r="E559" s="2"/>
      </tp>
      <tp t="s">
        <v>#N/A Requesting Data...2901596557</v>
        <stp/>
        <stp>BDP|13089363207771393142</stp>
        <tr r="H256" s="2"/>
      </tp>
      <tp t="s">
        <v>#N/A Requesting Data...3448841976</v>
        <stp/>
        <stp>BDP|10487429943490732041</stp>
        <tr r="G334" s="2"/>
      </tp>
      <tp t="s">
        <v>#N/A Requesting Data...3233080694</v>
        <stp/>
        <stp>BDP|14763078864745822651</stp>
        <tr r="F122" s="2"/>
      </tp>
      <tp t="s">
        <v>#N/A Requesting Data...3318064292</v>
        <stp/>
        <stp>BDP|11317634918533194404</stp>
        <tr r="H577" s="2"/>
      </tp>
      <tp t="s">
        <v>#N/A Requesting Data...3409098428</v>
        <stp/>
        <stp>BDP|15640322693308995671</stp>
        <tr r="F338" s="2"/>
      </tp>
      <tp t="s">
        <v>#N/A Requesting Data...4201963824</v>
        <stp/>
        <stp>BDP|17137941061138970148</stp>
        <tr r="H253" s="2"/>
      </tp>
      <tp t="s">
        <v>#N/A Requesting Data...4162060812</v>
        <stp/>
        <stp>BDP|14165473029203170074</stp>
        <tr r="F539" s="2"/>
      </tp>
      <tp t="s">
        <v>#N/A Requesting Data...4250793172</v>
        <stp/>
        <stp>BDP|14545436978586767005</stp>
        <tr r="Z49" s="1"/>
      </tp>
      <tp t="s">
        <v>#N/A Requesting Data...2636655493</v>
        <stp/>
        <stp>BDP|13756228859514746137</stp>
        <tr r="H555" s="2"/>
      </tp>
      <tp t="s">
        <v>#N/A Requesting Data...4195997115</v>
        <stp/>
        <stp>BDP|16290088509494278399</stp>
        <tr r="E86" s="2"/>
      </tp>
      <tp t="s">
        <v>#N/A Requesting Data...3741469967</v>
        <stp/>
        <stp>BDP|16517280264196415559</stp>
        <tr r="F519" s="2"/>
      </tp>
      <tp t="s">
        <v>#N/A Requesting Data...4169593169</v>
        <stp/>
        <stp>BDP|11466078348486166220</stp>
        <tr r="E509" s="2"/>
      </tp>
      <tp t="s">
        <v>#N/A Requesting Data...2568637717</v>
        <stp/>
        <stp>BDP|13080908859446135804</stp>
        <tr r="F246" s="2"/>
      </tp>
      <tp t="s">
        <v>#N/A Requesting Data...3641952113</v>
        <stp/>
        <stp>BDP|12706566669780759075</stp>
        <tr r="G266" s="2"/>
      </tp>
      <tp t="s">
        <v>#N/A Requesting Data...2599236535</v>
        <stp/>
        <stp>BDP|16386127138030967588</stp>
        <tr r="F414" s="2"/>
      </tp>
      <tp t="s">
        <v>#N/A Requesting Data...3537830809</v>
        <stp/>
        <stp>BDP|16957441754073815594</stp>
        <tr r="F245" s="2"/>
      </tp>
      <tp t="s">
        <v>#N/A Requesting Data...2780103301</v>
        <stp/>
        <stp>BDP|17050833837189817446</stp>
        <tr r="G30" s="2"/>
      </tp>
      <tp t="s">
        <v>#N/A Requesting Data...2731368052</v>
        <stp/>
        <stp>BDP|12104243619657528712</stp>
        <tr r="H271" s="2"/>
      </tp>
      <tp t="s">
        <v>#N/A Requesting Data...3311208547</v>
        <stp/>
        <stp>BDP|15810918496562243663</stp>
        <tr r="H364" s="2"/>
      </tp>
      <tp t="s">
        <v>#N/A Requesting Data...3372109455</v>
        <stp/>
        <stp>BDP|12573152819187680442</stp>
        <tr r="E116" s="2"/>
      </tp>
      <tp t="s">
        <v>#N/A Requesting Data...2653807776</v>
        <stp/>
        <stp>BDP|12370515968562998283</stp>
        <tr r="G513" s="2"/>
      </tp>
      <tp t="s">
        <v>#N/A Requesting Data...3676309667</v>
        <stp/>
        <stp>BDP|11092343708140511329</stp>
        <tr r="H203" s="2"/>
      </tp>
      <tp t="s">
        <v>#N/A Requesting Data...3566392205</v>
        <stp/>
        <stp>BDP|14089146069370379258</stp>
        <tr r="F71" s="2"/>
      </tp>
      <tp t="s">
        <v>#N/A Requesting Data...2644023014</v>
        <stp/>
        <stp>BDP|12694524261730734099</stp>
        <tr r="G339" s="2"/>
      </tp>
      <tp t="s">
        <v>#N/A Requesting Data...3535293597</v>
        <stp/>
        <stp>BDP|13377828288375334718</stp>
        <tr r="E186" s="2"/>
      </tp>
      <tp t="s">
        <v>#N/A Requesting Data...2723327493</v>
        <stp/>
        <stp>BDP|13167633909991618568</stp>
        <tr r="F502" s="2"/>
      </tp>
      <tp t="s">
        <v>#N/A Requesting Data...3832972838</v>
        <stp/>
        <stp>BDP|10662745464375944540</stp>
        <tr r="G76" s="2"/>
      </tp>
      <tp t="s">
        <v>#N/A Requesting Data...3897952386</v>
        <stp/>
        <stp>BDP|10315163415945855425</stp>
        <tr r="G554" s="2"/>
      </tp>
      <tp t="s">
        <v>#N/A Requesting Data...3492061564</v>
        <stp/>
        <stp>BDP|18080599901238719458</stp>
        <tr r="G616" s="2"/>
      </tp>
      <tp t="s">
        <v>#N/A Requesting Data...2810040819</v>
        <stp/>
        <stp>BDP|13822879008749867353</stp>
        <tr r="E419" s="2"/>
      </tp>
      <tp t="s">
        <v>#N/A Requesting Data...4096393857</v>
        <stp/>
        <stp>BDP|16601133819116594135</stp>
        <tr r="F408" s="2"/>
      </tp>
      <tp t="s">
        <v>#N/A Requesting Data...4201499624</v>
        <stp/>
        <stp>BDP|14511152599358396507</stp>
        <tr r="F213" s="2"/>
      </tp>
      <tp t="s">
        <v>#N/A Requesting Data...4224610715</v>
        <stp/>
        <stp>BDP|17763049438452823797</stp>
        <tr r="E585" s="2"/>
      </tp>
      <tp t="s">
        <v>#N/A Requesting Data...3974004561</v>
        <stp/>
        <stp>BDP|17152297346131777137</stp>
        <tr r="H350" s="2"/>
      </tp>
      <tp t="s">
        <v>#N/A Requesting Data...4044973706</v>
        <stp/>
        <stp>BDP|13035958699910692209</stp>
        <tr r="AA90" s="1"/>
      </tp>
      <tp t="s">
        <v>#N/A Requesting Data...4077501676</v>
        <stp/>
        <stp>BDP|17541420550175414291</stp>
        <tr r="E130" s="2"/>
      </tp>
      <tp t="s">
        <v>#N/A Requesting Data...3900335566</v>
        <stp/>
        <stp>BDP|17124587785459257241</stp>
        <tr r="AA62" s="1"/>
      </tp>
      <tp t="s">
        <v>#N/A Requesting Data...3737893742</v>
        <stp/>
        <stp>BDP|14446257478444774445</stp>
        <tr r="H24" s="2"/>
      </tp>
      <tp t="s">
        <v>#N/A Requesting Data...2632631810</v>
        <stp/>
        <stp>BDP|11863788047221230287</stp>
        <tr r="F358" s="2"/>
      </tp>
      <tp t="s">
        <v>#N/A Requesting Data...4218470355</v>
        <stp/>
        <stp>BDP|11288752639756677255</stp>
        <tr r="Z8" s="1"/>
      </tp>
      <tp t="s">
        <v>#N/A Requesting Data...3347600906</v>
        <stp/>
        <stp>BDP|15278298237212753764</stp>
        <tr r="F580" s="2"/>
      </tp>
      <tp t="s">
        <v>#N/A Requesting Data...2898847382</v>
        <stp/>
        <stp>BDP|11655923098965830590</stp>
        <tr r="F181" s="2"/>
      </tp>
      <tp t="s">
        <v>#N/A Requesting Data...3531794747</v>
        <stp/>
        <stp>BDP|11383685524385719159</stp>
        <tr r="F226" s="2"/>
      </tp>
      <tp t="s">
        <v>#N/A Requesting Data...2741378602</v>
        <stp/>
        <stp>BDP|14142929757690195987</stp>
        <tr r="F202" s="2"/>
      </tp>
      <tp t="s">
        <v>#N/A Requesting Data...3768545849</v>
        <stp/>
        <stp>BDP|15541883180047817383</stp>
        <tr r="F165" s="2"/>
      </tp>
      <tp t="s">
        <v>#N/A Requesting Data...3397488692</v>
        <stp/>
        <stp>BDP|10211192414991738040</stp>
        <tr r="H452" s="2"/>
      </tp>
      <tp t="s">
        <v>#N/A Requesting Data...2785073124</v>
        <stp/>
        <stp>BDP|11496164712051806144</stp>
        <tr r="G581" s="2"/>
      </tp>
      <tp t="s">
        <v>#N/A Requesting Data...2933692712</v>
        <stp/>
        <stp>BDP|12243826299477080550</stp>
        <tr r="F343" s="2"/>
      </tp>
      <tp t="s">
        <v>#N/A Requesting Data...2679298174</v>
        <stp/>
        <stp>BDP|16808887341948470394</stp>
        <tr r="F180" s="2"/>
      </tp>
      <tp t="s">
        <v>#N/A Requesting Data...3930106767</v>
        <stp/>
        <stp>BDP|17049187476259184935</stp>
        <tr r="G3" s="2"/>
      </tp>
      <tp t="s">
        <v>#N/A Requesting Data...3040627517</v>
        <stp/>
        <stp>BDP|12991143622829509963</stp>
        <tr r="G385" s="2"/>
      </tp>
      <tp t="s">
        <v>#N/A Requesting Data...3750489155</v>
        <stp/>
        <stp>BDP|18208126536749393298</stp>
        <tr r="E496" s="2"/>
      </tp>
      <tp t="s">
        <v>#N/A Requesting Data...3398205244</v>
        <stp/>
        <stp>BDP|11920512267044165726</stp>
        <tr r="E216" s="2"/>
      </tp>
      <tp t="s">
        <v>#N/A Requesting Data...3052947531</v>
        <stp/>
        <stp>BDP|11612791202566242136</stp>
        <tr r="G364" s="2"/>
      </tp>
      <tp t="s">
        <v>#N/A Requesting Data...3376851323</v>
        <stp/>
        <stp>BDP|15599927595903892755</stp>
        <tr r="H277" s="2"/>
      </tp>
      <tp t="s">
        <v>#N/A Requesting Data...2884105507</v>
        <stp/>
        <stp>BDP|10274416749179498816</stp>
        <tr r="G609" s="2"/>
      </tp>
      <tp t="s">
        <v>#N/A Requesting Data...3277631989</v>
        <stp/>
        <stp>BDP|13605043911450568393</stp>
        <tr r="G432" s="2"/>
      </tp>
      <tp t="s">
        <v>#N/A Requesting Data...4232712232</v>
        <stp/>
        <stp>BDP|18139043442464848907</stp>
        <tr r="F491" s="2"/>
      </tp>
      <tp t="s">
        <v>#N/A Requesting Data...3998600953</v>
        <stp/>
        <stp>BDP|10656395024885724520</stp>
        <tr r="AB37" s="1"/>
      </tp>
      <tp t="s">
        <v>#N/A Requesting Data...3301415788</v>
        <stp/>
        <stp>BDP|15786492136817689403</stp>
        <tr r="AB73" s="1"/>
      </tp>
      <tp t="s">
        <v>#N/A Requesting Data...4258277557</v>
        <stp/>
        <stp>BDP|13434374262797632094</stp>
        <tr r="F2" s="2"/>
        <tr r="F27" s="2"/>
      </tp>
      <tp t="s">
        <v>#N/A Requesting Data...2790647047</v>
        <stp/>
        <stp>BDP|11713628553024021772</stp>
        <tr r="E180" s="2"/>
      </tp>
      <tp t="s">
        <v>#N/A Requesting Data...2818644814</v>
        <stp/>
        <stp>BDP|10601604421114298144</stp>
        <tr r="G162" s="2"/>
      </tp>
      <tp t="s">
        <v>#N/A Requesting Data...3987198156</v>
        <stp/>
        <stp>BDP|10298541204391655551</stp>
        <tr r="F596" s="2"/>
      </tp>
      <tp t="s">
        <v>#N/A Requesting Data...4193877048</v>
        <stp/>
        <stp>BDP|15101718253021741747</stp>
        <tr r="E36" s="2"/>
      </tp>
      <tp t="s">
        <v>#N/A Requesting Data...3159866072</v>
        <stp/>
        <stp>BDP|13853165036083829308</stp>
        <tr r="H72" s="2"/>
      </tp>
      <tp t="s">
        <v>#N/A Requesting Data...3832897421</v>
        <stp/>
        <stp>BDP|14640958491303500676</stp>
        <tr r="AB104" s="1"/>
      </tp>
      <tp t="s">
        <v>#N/A Requesting Data...3902154243</v>
        <stp/>
        <stp>BDP|14754223647945659644</stp>
        <tr r="E61" s="2"/>
      </tp>
      <tp t="s">
        <v>#N/A Requesting Data...3117166394</v>
        <stp/>
        <stp>BDP|13426082768260682424</stp>
        <tr r="AB31" s="1"/>
      </tp>
      <tp t="s">
        <v>#N/A Requesting Data...4206546198</v>
        <stp/>
        <stp>BDP|11465253223370736059</stp>
        <tr r="G33" s="2"/>
      </tp>
      <tp t="s">
        <v>#N/A Requesting Data...3512268825</v>
        <stp/>
        <stp>BDP|13290222630985025603</stp>
        <tr r="E103" s="2"/>
      </tp>
      <tp t="s">
        <v>#N/A Requesting Data...3431978807</v>
        <stp/>
        <stp>BDP|11712292249345258355</stp>
        <tr r="H6" s="2"/>
      </tp>
      <tp t="s">
        <v>#N/A Requesting Data...2813924959</v>
        <stp/>
        <stp>BDP|15123518871194696277</stp>
        <tr r="H351" s="2"/>
      </tp>
      <tp t="s">
        <v>#N/A Requesting Data...3887859829</v>
        <stp/>
        <stp>BDP|13309749901253704623</stp>
        <tr r="E127" s="2"/>
      </tp>
      <tp t="s">
        <v>#N/A Requesting Data...4030868053</v>
        <stp/>
        <stp>BDP|18054550681561443530</stp>
        <tr r="G551" s="2"/>
      </tp>
      <tp t="s">
        <v>#N/A Requesting Data...3929543607</v>
        <stp/>
        <stp>BDP|11435293232033984242</stp>
        <tr r="E147" s="2"/>
      </tp>
      <tp t="s">
        <v>#N/A Requesting Data...2604546448</v>
        <stp/>
        <stp>BDP|13897929867874173994</stp>
        <tr r="G593" s="2"/>
      </tp>
      <tp t="s">
        <v>#N/A Requesting Data...2840626937</v>
        <stp/>
        <stp>BDP|10156240330666049609</stp>
        <tr r="G487" s="2"/>
      </tp>
      <tp t="s">
        <v>#N/A Requesting Data...3750088563</v>
        <stp/>
        <stp>BDP|13407729353994657468</stp>
        <tr r="E123" s="2"/>
      </tp>
      <tp t="s">
        <v>#N/A Requesting Data...4098148375</v>
        <stp/>
        <stp>BDP|13437708473667575576</stp>
        <tr r="G269" s="2"/>
      </tp>
      <tp t="s">
        <v>#N/A Requesting Data...3673326806</v>
        <stp/>
        <stp>BDP|14584204016653390552</stp>
        <tr r="F523" s="2"/>
      </tp>
      <tp t="s">
        <v>#N/A Requesting Data...3543559699</v>
        <stp/>
        <stp>BDP|16677653557317329323</stp>
        <tr r="E591" s="2"/>
      </tp>
      <tp t="s">
        <v>#N/A Requesting Data...2968739086</v>
        <stp/>
        <stp>BDP|17117626672554026346</stp>
        <tr r="H581" s="2"/>
      </tp>
      <tp t="s">
        <v>#N/A Requesting Data...3448442836</v>
        <stp/>
        <stp>BDP|14427558866074499278</stp>
        <tr r="E40" s="2"/>
      </tp>
      <tp t="s">
        <v>#N/A Requesting Data...2900747943</v>
        <stp/>
        <stp>BDP|17847789463317484038</stp>
        <tr r="F381" s="2"/>
      </tp>
      <tp t="s">
        <v>#N/A Requesting Data...4169199301</v>
        <stp/>
        <stp>BDP|17871807889380790624</stp>
        <tr r="E242" s="2"/>
      </tp>
      <tp t="s">
        <v>#N/A Requesting Data...2822476355</v>
        <stp/>
        <stp>BDP|10293630729053501694</stp>
        <tr r="H334" s="2"/>
      </tp>
      <tp t="s">
        <v>#N/A Requesting Data...3756894814</v>
        <stp/>
        <stp>BDP|17342345889758241580</stp>
        <tr r="E284" s="2"/>
      </tp>
      <tp t="s">
        <v>#N/A Requesting Data...3941342144</v>
        <stp/>
        <stp>BDP|15050326177198559845</stp>
        <tr r="H311" s="2"/>
      </tp>
      <tp t="s">
        <v>#N/A Requesting Data...4085578297</v>
        <stp/>
        <stp>BDP|14937768242850000691</stp>
        <tr r="E417" s="2"/>
      </tp>
      <tp t="s">
        <v>#N/A Requesting Data...3343072371</v>
        <stp/>
        <stp>BDP|15517476165036125027</stp>
        <tr r="G332" s="2"/>
      </tp>
      <tp t="s">
        <v>#N/A Requesting Data...3067578671</v>
        <stp/>
        <stp>BDP|15328670590289262221</stp>
        <tr r="G286" s="2"/>
      </tp>
      <tp t="s">
        <v>#N/A Requesting Data...3645844219</v>
        <stp/>
        <stp>BDP|17651406083648409250</stp>
        <tr r="H609" s="2"/>
      </tp>
      <tp t="s">
        <v>#N/A Requesting Data...4166290234</v>
        <stp/>
        <stp>BDP|16631660596781433963</stp>
        <tr r="Z33" s="1"/>
      </tp>
      <tp t="s">
        <v>#N/A Requesting Data...3257553092</v>
        <stp/>
        <stp>BDP|11296087981129797182</stp>
        <tr r="G569" s="2"/>
      </tp>
      <tp t="s">
        <v>#N/A Requesting Data...2724503997</v>
        <stp/>
        <stp>BDP|16089420598782786893</stp>
        <tr r="H213" s="2"/>
      </tp>
      <tp t="s">
        <v>#N/A Requesting Data...3949425548</v>
        <stp/>
        <stp>BDP|10482191435942728188</stp>
        <tr r="G492" s="2"/>
      </tp>
      <tp t="s">
        <v>#N/A Requesting Data...3653171454</v>
        <stp/>
        <stp>BDP|12596132966757450330</stp>
        <tr r="H358" s="2"/>
      </tp>
      <tp t="s">
        <v>#N/A Requesting Data...3415278826</v>
        <stp/>
        <stp>BDP|13006236517920415170</stp>
        <tr r="F41" s="2"/>
      </tp>
      <tp t="s">
        <v>#N/A Requesting Data...3687072434</v>
        <stp/>
        <stp>BDP|11286094464040073686</stp>
        <tr r="E345" s="2"/>
      </tp>
      <tp t="s">
        <v>#N/A Requesting Data...3067515443</v>
        <stp/>
        <stp>BDP|14429440934080360208</stp>
        <tr r="H94" s="2"/>
      </tp>
      <tp t="s">
        <v>#N/A Requesting Data...4210955900</v>
        <stp/>
        <stp>BDP|10341294835367183798</stp>
        <tr r="H613" s="2"/>
      </tp>
      <tp t="s">
        <v>#N/A Requesting Data...2645994745</v>
        <stp/>
        <stp>BDP|18260302736059636053</stp>
        <tr r="Z81" s="1"/>
      </tp>
      <tp t="s">
        <v>#N/A Requesting Data...3724449807</v>
        <stp/>
        <stp>BDP|15664788329711397034</stp>
        <tr r="E537" s="2"/>
      </tp>
      <tp t="s">
        <v>#N/A Requesting Data...3950382980</v>
        <stp/>
        <stp>BDP|16891466719406096419</stp>
        <tr r="E240" s="2"/>
      </tp>
      <tp t="s">
        <v>#N/A Requesting Data...3345635078</v>
        <stp/>
        <stp>BDP|11852561858518594857</stp>
        <tr r="F225" s="2"/>
      </tp>
      <tp t="s">
        <v>#N/A Requesting Data...2832552858</v>
        <stp/>
        <stp>BDP|15392003118757981248</stp>
        <tr r="AA64" s="1"/>
      </tp>
      <tp t="s">
        <v>#N/A Requesting Data...2736892297</v>
        <stp/>
        <stp>BDP|14094833857700488864</stp>
        <tr r="F283" s="2"/>
      </tp>
      <tp t="s">
        <v>#N/A Requesting Data...3439404473</v>
        <stp/>
        <stp>BDP|15372178546623382277</stp>
        <tr r="AA52" s="1"/>
      </tp>
      <tp t="s">
        <v>#N/A Requesting Data...4197268401</v>
        <stp/>
        <stp>BDP|11313367375404240040</stp>
        <tr r="H282" s="2"/>
      </tp>
      <tp t="s">
        <v>#N/A Requesting Data...3029257169</v>
        <stp/>
        <stp>BDP|14059266375307416714</stp>
        <tr r="E504" s="2"/>
      </tp>
      <tp t="s">
        <v>#N/A Requesting Data...3407663781</v>
        <stp/>
        <stp>BDP|18101213193006559403</stp>
        <tr r="F487" s="2"/>
      </tp>
      <tp t="s">
        <v>#N/A Requesting Data...3822932474</v>
        <stp/>
        <stp>BDP|14480452532003929634</stp>
        <tr r="F210" s="2"/>
      </tp>
      <tp t="s">
        <v>#N/A Requesting Data...3372498247</v>
        <stp/>
        <stp>BDP|10103086571173803295</stp>
        <tr r="G358" s="2"/>
      </tp>
      <tp t="s">
        <v>#N/A Requesting Data...4007266664</v>
        <stp/>
        <stp>BDP|16055104598730971886</stp>
        <tr r="F31" s="2"/>
      </tp>
      <tp t="s">
        <v>#N/A Requesting Data...3972167681</v>
        <stp/>
        <stp>BDP|12008377958054073679</stp>
        <tr r="Z42" s="1"/>
      </tp>
      <tp t="s">
        <v>#N/A Requesting Data...2880736251</v>
        <stp/>
        <stp>BDP|15546728272510567382</stp>
        <tr r="F101" s="2"/>
      </tp>
      <tp t="s">
        <v>#N/A Requesting Data...2716442452</v>
        <stp/>
        <stp>BDP|10533752764976583193</stp>
        <tr r="F475" s="2"/>
      </tp>
      <tp t="s">
        <v>#N/A Requesting Data...3259741739</v>
        <stp/>
        <stp>BDP|11954169766330291037</stp>
        <tr r="G65" s="2"/>
      </tp>
      <tp t="s">
        <v>#N/A Requesting Data...4084723191</v>
        <stp/>
        <stp>BDP|10213275782329725584</stp>
        <tr r="G447" s="2"/>
      </tp>
      <tp t="s">
        <v>#N/A Requesting Data...3905204168</v>
        <stp/>
        <stp>BDP|13475839873682701883</stp>
        <tr r="E408" s="2"/>
      </tp>
      <tp t="s">
        <v>#N/A Requesting Data...4071622127</v>
        <stp/>
        <stp>BDP|13869535527316450436</stp>
        <tr r="E597" s="2"/>
      </tp>
      <tp t="s">
        <v>#N/A Requesting Data...3430127296</v>
        <stp/>
        <stp>BDP|12700366525785782088</stp>
        <tr r="H93" s="2"/>
      </tp>
      <tp t="s">
        <v>#N/A Requesting Data...4072261746</v>
        <stp/>
        <stp>BDP|17106354898992351952</stp>
        <tr r="H442" s="2"/>
      </tp>
      <tp t="s">
        <v>#N/A Requesting Data...2738248411</v>
        <stp/>
        <stp>BDP|10325131626982871744</stp>
        <tr r="AB28" s="1"/>
      </tp>
      <tp t="s">
        <v>#N/A Requesting Data...4002598355</v>
        <stp/>
        <stp>BDP|13206786762086528273</stp>
        <tr r="G449" s="2"/>
      </tp>
      <tp t="s">
        <v>#N/A Requesting Data...3418912923</v>
        <stp/>
        <stp>BDP|11908012150261139335</stp>
        <tr r="F522" s="2"/>
      </tp>
      <tp t="s">
        <v>#N/A Requesting Data...2972575537</v>
        <stp/>
        <stp>BDP|15312764006041924578</stp>
        <tr r="F468" s="2"/>
      </tp>
      <tp t="s">
        <v>#N/A Requesting Data...3881189526</v>
        <stp/>
        <stp>BDP|16547998720238804393</stp>
        <tr r="E252" s="2"/>
      </tp>
      <tp t="s">
        <v>#N/A Requesting Data...3704314216</v>
        <stp/>
        <stp>BDP|13625782463573461740</stp>
        <tr r="F537" s="2"/>
      </tp>
      <tp t="s">
        <v>#N/A Requesting Data...2670367098</v>
        <stp/>
        <stp>BDP|15590497321984248127</stp>
        <tr r="E249" s="2"/>
      </tp>
      <tp t="s">
        <v>#N/A Requesting Data...2923472329</v>
        <stp/>
        <stp>BDP|13330624306435988623</stp>
        <tr r="G340" s="2"/>
      </tp>
      <tp t="s">
        <v>#N/A Requesting Data...4026914870</v>
        <stp/>
        <stp>BDP|13475012232741979729</stp>
        <tr r="E78" s="2"/>
      </tp>
      <tp t="s">
        <v>#N/A Requesting Data...4045456106</v>
        <stp/>
        <stp>BDP|12636302789019049637</stp>
        <tr r="F481" s="2"/>
      </tp>
      <tp t="s">
        <v>#N/A Requesting Data...3902019664</v>
        <stp/>
        <stp>BDP|11483757500890976040</stp>
        <tr r="H307" s="2"/>
      </tp>
      <tp t="s">
        <v>#N/A Requesting Data...2733405254</v>
        <stp/>
        <stp>BDP|16383155638855756757</stp>
        <tr r="H184" s="2"/>
      </tp>
      <tp t="s">
        <v>#N/A Requesting Data...2861832862</v>
        <stp/>
        <stp>BDP|15982122646864732264</stp>
        <tr r="AB82" s="1"/>
      </tp>
      <tp t="s">
        <v>#N/A Requesting Data...2932488438</v>
        <stp/>
        <stp>BDP|13797565719140348147</stp>
        <tr r="G304" s="2"/>
      </tp>
      <tp t="s">
        <v>#N/A Requesting Data...3507085461</v>
        <stp/>
        <stp>BDP|16676358139046407611</stp>
        <tr r="H465" s="2"/>
      </tp>
      <tp t="s">
        <v>#N/A Requesting Data...2981392889</v>
        <stp/>
        <stp>BDP|17527123223182356086</stp>
        <tr r="AB105" s="1"/>
      </tp>
      <tp t="s">
        <v>#N/A Requesting Data...4214112894</v>
        <stp/>
        <stp>BDP|11552284379331973326</stp>
        <tr r="F92" s="2"/>
      </tp>
      <tp t="s">
        <v>#N/A Requesting Data...3269379572</v>
        <stp/>
        <stp>BDP|11250377775093713082</stp>
        <tr r="H5" s="2"/>
      </tp>
      <tp t="s">
        <v>#N/A Requesting Data...2665679851</v>
        <stp/>
        <stp>BDP|15616528215541781693</stp>
        <tr r="Z105" s="1"/>
      </tp>
      <tp t="s">
        <v>#N/A Requesting Data...3199558490</v>
        <stp/>
        <stp>BDP|10464285948197374783</stp>
        <tr r="H197" s="2"/>
      </tp>
      <tp t="s">
        <v>#N/A Requesting Data...4134351868</v>
        <stp/>
        <stp>BDP|11335493895723721967</stp>
        <tr r="E327" s="2"/>
      </tp>
      <tp t="s">
        <v>#N/A Requesting Data...3138326086</v>
        <stp/>
        <stp>BDP|10199005106242778417</stp>
        <tr r="F518" s="2"/>
      </tp>
      <tp t="s">
        <v>#N/A Requesting Data...2979466964</v>
        <stp/>
        <stp>BDP|11466506544351702765</stp>
        <tr r="F114" s="2"/>
      </tp>
      <tp t="s">
        <v>#N/A Requesting Data...2995648876</v>
        <stp/>
        <stp>BDP|13001400660922273526</stp>
        <tr r="AB22" s="1"/>
      </tp>
      <tp t="s">
        <v>#N/A Requesting Data...4238171064</v>
        <stp/>
        <stp>BDP|11846564289933737902</stp>
        <tr r="E154" s="2"/>
      </tp>
      <tp t="s">
        <v>#N/A Requesting Data...3157792344</v>
        <stp/>
        <stp>BDP|17217804458638958438</stp>
        <tr r="G233" s="2"/>
      </tp>
      <tp t="s">
        <v>#N/A Requesting Data...4271357425</v>
        <stp/>
        <stp>BDP|14197906804162553908</stp>
        <tr r="G155" s="2"/>
      </tp>
      <tp t="s">
        <v>#N/A Requesting Data...3414703027</v>
        <stp/>
        <stp>BDP|16619255955132043566</stp>
        <tr r="E90" s="2"/>
      </tp>
      <tp t="s">
        <v>#N/A Requesting Data...2893952065</v>
        <stp/>
        <stp>BDP|17765036813647637713</stp>
        <tr r="AB64" s="1"/>
      </tp>
      <tp t="s">
        <v>#N/A Requesting Data...3411666866</v>
        <stp/>
        <stp>BDP|16069021394858463110</stp>
        <tr r="F442" s="2"/>
      </tp>
      <tp t="s">
        <v>#N/A Requesting Data...3830111567</v>
        <stp/>
        <stp>BDP|10631571757537764128</stp>
        <tr r="G424" s="2"/>
      </tp>
      <tp t="s">
        <v>#N/A Requesting Data...3358280008</v>
        <stp/>
        <stp>BDP|10166560144013528458</stp>
        <tr r="F107" s="2"/>
      </tp>
      <tp t="s">
        <v>#N/A Requesting Data...3811383485</v>
        <stp/>
        <stp>BDP|12883113768941179239</stp>
        <tr r="F352" s="2"/>
      </tp>
      <tp t="s">
        <v>#N/A Requesting Data...2841669609</v>
        <stp/>
        <stp>BDP|16141185181011972825</stp>
        <tr r="Z23" s="1"/>
      </tp>
      <tp t="s">
        <v>#N/A Requesting Data...3961569896</v>
        <stp/>
        <stp>BDP|17691189519879693823</stp>
        <tr r="F483" s="2"/>
      </tp>
      <tp t="s">
        <v>#N/A Requesting Data...3331252065</v>
        <stp/>
        <stp>BDP|10073376246005339413</stp>
        <tr r="G546" s="2"/>
      </tp>
      <tp t="s">
        <v>#N/A Requesting Data...3586593542</v>
        <stp/>
        <stp>BDP|11108007544446571530</stp>
        <tr r="AA49" s="1"/>
      </tp>
      <tp t="s">
        <v>#N/A Requesting Data...2807816058</v>
        <stp/>
        <stp>BDP|12517351022106489342</stp>
        <tr r="F295" s="2"/>
      </tp>
      <tp t="s">
        <v>#N/A Requesting Data...3108532623</v>
        <stp/>
        <stp>BDP|13962049267174823702</stp>
        <tr r="AA85" s="1"/>
      </tp>
      <tp t="s">
        <v>#N/A Requesting Data...4098352106</v>
        <stp/>
        <stp>BDP|16573568929204025383</stp>
        <tr r="G262" s="2"/>
      </tp>
      <tp t="s">
        <v>#N/A Requesting Data...3188486093</v>
        <stp/>
        <stp>BDP|10984441022139592983</stp>
        <tr r="H164" s="2"/>
      </tp>
      <tp t="s">
        <v>#N/A Requesting Data...3658154443</v>
        <stp/>
        <stp>BDP|16369567037990888681</stp>
        <tr r="F113" s="2"/>
      </tp>
      <tp t="s">
        <v>#N/A Requesting Data...3797256898</v>
        <stp/>
        <stp>BDP|15378690579067486522</stp>
        <tr r="H615" s="2"/>
      </tp>
      <tp t="s">
        <v>#N/A Requesting Data...4057713718</v>
        <stp/>
        <stp>BDP|17497504102813018739</stp>
        <tr r="E89" s="2"/>
      </tp>
      <tp t="s">
        <v>#N/A Requesting Data...3566850184</v>
        <stp/>
        <stp>BDP|12293442503598177814</stp>
        <tr r="G261" s="2"/>
      </tp>
      <tp t="s">
        <v>#N/A Requesting Data...3369901659</v>
        <stp/>
        <stp>BDP|13765241870715062564</stp>
        <tr r="H269" s="2"/>
      </tp>
      <tp t="s">
        <v>#N/A Requesting Data...3504094808</v>
        <stp/>
        <stp>BDP|11219973190296610160</stp>
        <tr r="H110" s="2"/>
      </tp>
      <tp t="s">
        <v>#N/A Requesting Data...3685734174</v>
        <stp/>
        <stp>BDP|15140030954326775046</stp>
        <tr r="G413" s="2"/>
      </tp>
      <tp t="s">
        <v>#N/A Requesting Data...3460168839</v>
        <stp/>
        <stp>BDP|12363599887889838001</stp>
        <tr r="F621" s="2"/>
      </tp>
      <tp t="s">
        <v>#N/A Requesting Data...4263349391</v>
        <stp/>
        <stp>BDP|13629539641666965294</stp>
        <tr r="G411" s="2"/>
      </tp>
      <tp t="s">
        <v>#N/A Requesting Data...3686197374</v>
        <stp/>
        <stp>BDP|15163671482369104415</stp>
        <tr r="G204" s="2"/>
      </tp>
      <tp t="s">
        <v>#N/A Requesting Data...3519468804</v>
        <stp/>
        <stp>BDP|11303995371028976163</stp>
        <tr r="F278" s="2"/>
      </tp>
      <tp t="s">
        <v>#N/A Requesting Data...4045152126</v>
        <stp/>
        <stp>BDP|17606644965847789641</stp>
        <tr r="H34" s="2"/>
      </tp>
      <tp t="s">
        <v>#N/A Requesting Data...4140843882</v>
        <stp/>
        <stp>BDP|11868567805144535698</stp>
        <tr r="F93" s="2"/>
      </tp>
      <tp t="s">
        <v>#N/A Requesting Data...4089661024</v>
        <stp/>
        <stp>BDP|14799606592148273503</stp>
        <tr r="G423" s="2"/>
      </tp>
      <tp t="s">
        <v>#N/A Requesting Data...3411057621</v>
        <stp/>
        <stp>BDP|13723008712766406267</stp>
        <tr r="F166" s="2"/>
      </tp>
      <tp t="s">
        <v>#N/A Requesting Data...4236180158</v>
        <stp/>
        <stp>BDP|14053231423412002078</stp>
        <tr r="Z18" s="1"/>
      </tp>
      <tp t="s">
        <v>#N/A Requesting Data...3552661069</v>
        <stp/>
        <stp>BDP|15764355747731707559</stp>
        <tr r="H99" s="2"/>
      </tp>
      <tp t="s">
        <v>#N/A Requesting Data...3579060343</v>
        <stp/>
        <stp>BDP|18374964917505165341</stp>
        <tr r="G591" s="2"/>
      </tp>
      <tp t="s">
        <v>#N/A Requesting Data...2802204345</v>
        <stp/>
        <stp>BDP|16550280929068116824</stp>
        <tr r="H326" s="2"/>
      </tp>
      <tp t="s">
        <v>#N/A Requesting Data...3659628437</v>
        <stp/>
        <stp>BDP|11009567253692046522</stp>
        <tr r="E501" s="2"/>
      </tp>
      <tp t="s">
        <v>#N/A Requesting Data...3585197323</v>
        <stp/>
        <stp>BDP|10301639950466334357</stp>
        <tr r="G219" s="2"/>
      </tp>
      <tp t="s">
        <v>#N/A Requesting Data...3112311736</v>
        <stp/>
        <stp>BDP|14971074830791991014</stp>
        <tr r="H551" s="2"/>
      </tp>
      <tp t="s">
        <v>#N/A Requesting Data...3341600977</v>
        <stp/>
        <stp>BDP|17930609108640406733</stp>
        <tr r="H554" s="2"/>
      </tp>
      <tp t="s">
        <v>#N/A Requesting Data...3914928285</v>
        <stp/>
        <stp>BDP|15794698159905424554</stp>
        <tr r="E569" s="2"/>
      </tp>
      <tp t="s">
        <v>#N/A Requesting Data...4019577298</v>
        <stp/>
        <stp>BDP|12611444483780090876</stp>
        <tr r="E507" s="2"/>
      </tp>
      <tp t="s">
        <v>#N/A Requesting Data...3359730653</v>
        <stp/>
        <stp>BDP|10624111032783707748</stp>
        <tr r="G16" s="2"/>
      </tp>
      <tp t="s">
        <v>#N/A Requesting Data...3528789895</v>
        <stp/>
        <stp>BDP|14786171703107124446</stp>
        <tr r="G272" s="2"/>
      </tp>
      <tp t="s">
        <v>#N/A Requesting Data...4170377702</v>
        <stp/>
        <stp>BDP|18027276084227785322</stp>
        <tr r="G179" s="2"/>
      </tp>
      <tp t="s">
        <v>#N/A Requesting Data...3386101182</v>
        <stp/>
        <stp>BDP|13320205152663613113</stp>
        <tr r="G34" s="2"/>
      </tp>
      <tp t="s">
        <v>#N/A Requesting Data...3656304090</v>
        <stp/>
        <stp>BDP|14361545634550177441</stp>
        <tr r="H106" s="2"/>
      </tp>
      <tp t="s">
        <v>#N/A Requesting Data...3646476778</v>
        <stp/>
        <stp>BDP|17931473568771025203</stp>
        <tr r="E70" s="2"/>
      </tp>
      <tp t="s">
        <v>#N/A Requesting Data...4077334547</v>
        <stp/>
        <stp>BDP|16624448919900094420</stp>
        <tr r="F133" s="2"/>
      </tp>
      <tp t="s">
        <v>#N/A Requesting Data...3050150605</v>
        <stp/>
        <stp>BDP|15093040523726612685</stp>
        <tr r="H174" s="2"/>
      </tp>
      <tp t="s">
        <v>#N/A Requesting Data...4019161234</v>
        <stp/>
        <stp>BDP|17240388125297164675</stp>
        <tr r="E117" s="2"/>
      </tp>
      <tp t="s">
        <v>#N/A Requesting Data...3028827910</v>
        <stp/>
        <stp>BDP|14696013982192902940</stp>
        <tr r="F461" s="2"/>
      </tp>
      <tp t="s">
        <v>#N/A Requesting Data...2760740439</v>
        <stp/>
        <stp>BDP|15368698102652444644</stp>
        <tr r="H143" s="2"/>
      </tp>
      <tp t="s">
        <v>#N/A Requesting Data...3814593325</v>
        <stp/>
        <stp>BDP|12375332808630146615</stp>
        <tr r="E491" s="2"/>
      </tp>
      <tp t="s">
        <v>#N/A Requesting Data...3404074503</v>
        <stp/>
        <stp>BDP|10108615823420910322</stp>
        <tr r="H268" s="2"/>
      </tp>
      <tp t="s">
        <v>#N/A Requesting Data...2887005617</v>
        <stp/>
        <stp>BDP|12252632601624179797</stp>
        <tr r="G101" s="2"/>
      </tp>
      <tp t="s">
        <v>#N/A Requesting Data...3521727636</v>
        <stp/>
        <stp>BDP|11746924083443590486</stp>
        <tr r="H157" s="2"/>
      </tp>
      <tp t="s">
        <v>#N/A Requesting Data...3346580432</v>
        <stp/>
        <stp>BDP|16398258757882267485</stp>
        <tr r="E236" s="2"/>
      </tp>
      <tp t="s">
        <v>#N/A Requesting Data...3377425076</v>
        <stp/>
        <stp>BDP|11392595821303212221</stp>
        <tr r="AB47" s="1"/>
      </tp>
      <tp t="s">
        <v>#N/A Requesting Data...3600199399</v>
        <stp/>
        <stp>BDP|17822935738308812208</stp>
        <tr r="Z12" s="1"/>
      </tp>
      <tp t="s">
        <v>#N/A Requesting Data...4291973780</v>
        <stp/>
        <stp>BDP|18285932607720424698</stp>
        <tr r="G288" s="2"/>
      </tp>
      <tp t="s">
        <v>#N/A Requesting Data...3026318369</v>
        <stp/>
        <stp>BDP|13529045832727969012</stp>
        <tr r="E208" s="2"/>
      </tp>
      <tp t="s">
        <v>#N/A Requesting Data...2783117053</v>
        <stp/>
        <stp>BDP|12919137253790242113</stp>
        <tr r="E296" s="2"/>
      </tp>
      <tp t="s">
        <v>#N/A Requesting Data...2969273464</v>
        <stp/>
        <stp>BDP|11298036639261244472</stp>
        <tr r="H324" s="2"/>
      </tp>
      <tp t="s">
        <v>#N/A Requesting Data...3437791015</v>
        <stp/>
        <stp>BDP|17005608026172286693</stp>
        <tr r="F400" s="2"/>
      </tp>
      <tp t="s">
        <v>#N/A Requesting Data...3288996589</v>
        <stp/>
        <stp>BDP|10054783041574112050</stp>
        <tr r="F73" s="2"/>
      </tp>
      <tp t="s">
        <v>#N/A Requesting Data...3820914331</v>
        <stp/>
        <stp>BDP|11212281533153144453</stp>
        <tr r="E97" s="2"/>
      </tp>
      <tp t="s">
        <v>#N/A Requesting Data...4015955991</v>
        <stp/>
        <stp>BDP|13902173971994567679</stp>
        <tr r="E598" s="2"/>
      </tp>
      <tp t="s">
        <v>#N/A Requesting Data...3537911893</v>
        <stp/>
        <stp>BDP|13891892728648189649</stp>
        <tr r="F119" s="2"/>
      </tp>
      <tp t="s">
        <v>#N/A Requesting Data...4284744977</v>
        <stp/>
        <stp>BDP|13488821788855679144</stp>
        <tr r="H606" s="2"/>
      </tp>
      <tp t="s">
        <v>#N/A Requesting Data...4158481254</v>
        <stp/>
        <stp>BDP|12320132214176889308</stp>
        <tr r="E394" s="2"/>
      </tp>
      <tp t="s">
        <v>#N/A Requesting Data...2914442151</v>
        <stp/>
        <stp>BDP|13862150216056662217</stp>
        <tr r="H356" s="2"/>
      </tp>
      <tp t="s">
        <v>#N/A Requesting Data...3725943799</v>
        <stp/>
        <stp>BDP|14405390844190511404</stp>
        <tr r="F349" s="2"/>
      </tp>
      <tp t="s">
        <v>#N/A Requesting Data...4252411145</v>
        <stp/>
        <stp>BDP|16851820296908423876</stp>
        <tr r="F109" s="2"/>
      </tp>
      <tp t="s">
        <v>#N/A Requesting Data...3149896419</v>
        <stp/>
        <stp>BDP|14930720297119256418</stp>
        <tr r="E224" s="2"/>
      </tp>
      <tp t="s">
        <v>#N/A Requesting Data...3554588105</v>
        <stp/>
        <stp>BDP|13782312139991380537</stp>
        <tr r="F286" s="2"/>
      </tp>
      <tp t="s">
        <v>#N/A Requesting Data...3677238205</v>
        <stp/>
        <stp>BDP|12216623427010873106</stp>
        <tr r="H362" s="2"/>
      </tp>
      <tp t="s">
        <v>#N/A Requesting Data...3760675210</v>
        <stp/>
        <stp>BDP|14890359872690555753</stp>
        <tr r="F36" s="2"/>
      </tp>
      <tp t="s">
        <v>#N/A Requesting Data...2860170146</v>
        <stp/>
        <stp>BDP|15180385425061443262</stp>
        <tr r="F234" s="2"/>
      </tp>
      <tp t="s">
        <v>#N/A Requesting Data...3775531760</v>
        <stp/>
        <stp>BDP|17180194742883160658</stp>
        <tr r="E118" s="2"/>
      </tp>
      <tp t="s">
        <v>#N/A Requesting Data...3240213173</v>
        <stp/>
        <stp>BDP|12712467419630080065</stp>
        <tr r="H160" s="2"/>
      </tp>
      <tp t="s">
        <v>#N/A Requesting Data...4160093484</v>
        <stp/>
        <stp>BDP|13653743159300696631</stp>
        <tr r="G498" s="2"/>
      </tp>
      <tp t="s">
        <v>#N/A Requesting Data...3051791010</v>
        <stp/>
        <stp>BDP|14599490215054420238</stp>
        <tr r="F405" s="2"/>
      </tp>
      <tp t="s">
        <v>#N/A Requesting Data...3864340477</v>
        <stp/>
        <stp>BDP|13974249947585686722</stp>
        <tr r="F619" s="2"/>
      </tp>
      <tp t="s">
        <v>#N/A Requesting Data...4219237114</v>
        <stp/>
        <stp>BDP|11851024547266126426</stp>
        <tr r="H13" s="2"/>
      </tp>
      <tp t="s">
        <v>#N/A Requesting Data...4075669303</v>
        <stp/>
        <stp>BDP|12918037177551483384</stp>
        <tr r="G549" s="2"/>
      </tp>
      <tp t="s">
        <v>#N/A Requesting Data...3877854237</v>
        <stp/>
        <stp>BDP|18191710233879777259</stp>
        <tr r="H476" s="2"/>
      </tp>
      <tp t="s">
        <v>#N/A Requesting Data...4253921919</v>
        <stp/>
        <stp>BDP|10354668815087930780</stp>
        <tr r="F50" s="2"/>
      </tp>
      <tp t="s">
        <v>#N/A Requesting Data...3219874921</v>
        <stp/>
        <stp>BDP|13586247152631502277</stp>
        <tr r="E547" s="2"/>
      </tp>
      <tp t="s">
        <v>#N/A Requesting Data...3249919318</v>
        <stp/>
        <stp>BDP|16241247924973321205</stp>
        <tr r="G430" s="2"/>
      </tp>
      <tp t="s">
        <v>#N/A Requesting Data...4223550530</v>
        <stp/>
        <stp>BDP|12703302533253674637</stp>
        <tr r="G47" s="2"/>
      </tp>
      <tp t="s">
        <v>#N/A Requesting Data...3544766636</v>
        <stp/>
        <stp>BDP|16220136603741501165</stp>
        <tr r="F32" s="2"/>
      </tp>
      <tp t="s">
        <v>#N/A Requesting Data...3616999335</v>
        <stp/>
        <stp>BDP|17329780268168061921</stp>
        <tr r="E309" s="2"/>
      </tp>
      <tp t="s">
        <v>#N/A Requesting Data...3980611475</v>
        <stp/>
        <stp>BDP|17794727323623687614</stp>
        <tr r="G191" s="2"/>
      </tp>
      <tp t="s">
        <v>#N/A Requesting Data...2949996066</v>
        <stp/>
        <stp>BDP|15782778199918919402</stp>
        <tr r="Z10" s="1"/>
      </tp>
      <tp t="s">
        <v>#N/A Requesting Data...3158546117</v>
        <stp/>
        <stp>BDP|13954567376201867711</stp>
        <tr r="F49" s="2"/>
      </tp>
      <tp t="s">
        <v>#N/A Requesting Data...4150918831</v>
        <stp/>
        <stp>BDP|13468036903603226762</stp>
        <tr r="G309" s="2"/>
      </tp>
      <tp t="s">
        <v>#N/A Requesting Data...2886991259</v>
        <stp/>
        <stp>BDP|11248162364785226427</stp>
        <tr r="H573" s="2"/>
      </tp>
      <tp t="s">
        <v>#N/A Requesting Data...3704676766</v>
        <stp/>
        <stp>BDP|11470415791878564326</stp>
        <tr r="H318" s="2"/>
      </tp>
      <tp t="s">
        <v>#N/A Requesting Data...3313543711</v>
        <stp/>
        <stp>BDP|11669223503432166659</stp>
        <tr r="H86" s="2"/>
      </tp>
      <tp t="s">
        <v>#N/A Requesting Data...4271691330</v>
        <stp/>
        <stp>BDP|15256760224456330102</stp>
        <tr r="G337" s="2"/>
      </tp>
      <tp t="s">
        <v>#N/A Requesting Data...3236842207</v>
        <stp/>
        <stp>BDP|12283860096883839793</stp>
        <tr r="G97" s="2"/>
      </tp>
      <tp t="s">
        <v>#N/A Requesting Data...3004721768</v>
        <stp/>
        <stp>BDP|16833884257074242865</stp>
        <tr r="H83" s="2"/>
      </tp>
      <tp t="s">
        <v>#N/A Requesting Data...3194066422</v>
        <stp/>
        <stp>BDP|12755196436443804432</stp>
        <tr r="H483" s="2"/>
      </tp>
      <tp t="s">
        <v>#N/A Requesting Data...3700599449</v>
        <stp/>
        <stp>BDP|17480340374073346749</stp>
        <tr r="H608" s="2"/>
      </tp>
      <tp t="s">
        <v>#N/A Requesting Data...3436561962</v>
        <stp/>
        <stp>BDP|17686485144055909509</stp>
        <tr r="G524" s="2"/>
      </tp>
      <tp t="s">
        <v>#N/A Requesting Data...4054345279</v>
        <stp/>
        <stp>BDP|12184823742050007932</stp>
        <tr r="E562" s="2"/>
      </tp>
      <tp t="s">
        <v>#N/A Requesting Data...4235411369</v>
        <stp/>
        <stp>BDP|15479265234546672528</stp>
        <tr r="AB91" s="1"/>
      </tp>
      <tp t="s">
        <v>#N/A Requesting Data...3370174194</v>
        <stp/>
        <stp>BDP|11681550714517711523</stp>
        <tr r="E120" s="2"/>
      </tp>
      <tp t="s">
        <v>#N/A Requesting Data...2967837443</v>
        <stp/>
        <stp>BDP|15346053505504390625</stp>
        <tr r="G540" s="2"/>
      </tp>
      <tp t="s">
        <v>#N/A Requesting Data...3409806995</v>
        <stp/>
        <stp>BDP|11124255253934563505</stp>
        <tr r="F80" s="2"/>
      </tp>
      <tp t="s">
        <v>#N/A Requesting Data...3871161288</v>
        <stp/>
        <stp>BDP|18313903680456279832</stp>
        <tr r="H352" s="2"/>
      </tp>
      <tp t="s">
        <v>#N/A Requesting Data...2862714112</v>
        <stp/>
        <stp>BDP|16415911470146159963</stp>
        <tr r="G468" s="2"/>
      </tp>
      <tp t="s">
        <v>#N/A Requesting Data...4140605400</v>
        <stp/>
        <stp>BDP|12250472773791152753</stp>
        <tr r="G556" s="2"/>
      </tp>
      <tp t="s">
        <v>#N/A Requesting Data...3307473354</v>
        <stp/>
        <stp>BDP|14530663946383011274</stp>
        <tr r="E28" s="2"/>
      </tp>
      <tp t="s">
        <v>#N/A Requesting Data...4126998375</v>
        <stp/>
        <stp>BDP|13751147952364324407</stp>
        <tr r="G284" s="2"/>
      </tp>
      <tp t="s">
        <v>#N/A Requesting Data...3784297230</v>
        <stp/>
        <stp>BDP|10083417343243394447</stp>
        <tr r="H468" s="2"/>
      </tp>
      <tp t="s">
        <v>#N/A Requesting Data...4071414351</v>
        <stp/>
        <stp>BDP|18326285475173209994</stp>
        <tr r="F178" s="2"/>
      </tp>
      <tp t="s">
        <v>#N/A Requesting Data...3212376544</v>
        <stp/>
        <stp>BDP|10860434450180944675</stp>
        <tr r="AA30" s="1"/>
      </tp>
      <tp t="s">
        <v>#N/A Requesting Data...3911988960</v>
        <stp/>
        <stp>BDP|15070871782367972593</stp>
        <tr r="H279" s="2"/>
      </tp>
      <tp t="s">
        <v>#N/A Requesting Data...4197883811</v>
        <stp/>
        <stp>BDP|17329797708483405436</stp>
        <tr r="F280" s="2"/>
      </tp>
      <tp t="s">
        <v>#N/A Requesting Data...3866304871</v>
        <stp/>
        <stp>BDP|13396260766829170973</stp>
        <tr r="AB15" s="1"/>
      </tp>
      <tp t="s">
        <v>#N/A Requesting Data...2961877729</v>
        <stp/>
        <stp>BDP|15039091528877596717</stp>
        <tr r="G255" s="2"/>
      </tp>
      <tp t="s">
        <v>#N/A Requesting Data...2881657918</v>
        <stp/>
        <stp>BDP|13942303209963520412</stp>
        <tr r="AB49" s="1"/>
      </tp>
      <tp t="s">
        <v>#N/A Requesting Data...3025292232</v>
        <stp/>
        <stp>BDP|10904415828775786438</stp>
        <tr r="G319" s="2"/>
      </tp>
      <tp t="s">
        <v>#N/A Requesting Data...4245487325</v>
        <stp/>
        <stp>BDP|11457734493171299928</stp>
        <tr r="H354" s="2"/>
      </tp>
      <tp t="s">
        <v>#N/A Requesting Data...3877821064</v>
        <stp/>
        <stp>BDP|12869691938259862953</stp>
        <tr r="G171" s="2"/>
      </tp>
      <tp t="s">
        <v>#N/A Requesting Data...3625622728</v>
        <stp/>
        <stp>BDP|14453950481506036444</stp>
        <tr r="G361" s="2"/>
      </tp>
      <tp t="s">
        <v>#N/A Requesting Data...3962102244</v>
        <stp/>
        <stp>BDP|12285768215203045050</stp>
        <tr r="F169" s="2"/>
      </tp>
      <tp t="s">
        <v>#N/A Requesting Data...3772796439</v>
        <stp/>
        <stp>BDP|17461444876547543476</stp>
        <tr r="AA100" s="1"/>
      </tp>
      <tp t="s">
        <v>#N/A Requesting Data...3594082627</v>
        <stp/>
        <stp>BDP|12704246116253165507</stp>
        <tr r="E227" s="2"/>
      </tp>
      <tp t="s">
        <v>#N/A Requesting Data...2904283438</v>
        <stp/>
        <stp>BDP|12138115173507408408</stp>
        <tr r="E407" s="2"/>
      </tp>
      <tp t="s">
        <v>#N/A Requesting Data...3148238476</v>
        <stp/>
        <stp>BDP|13261569079376334091</stp>
        <tr r="F66" s="2"/>
      </tp>
      <tp t="s">
        <v>#N/A Requesting Data...4102020953</v>
        <stp/>
        <stp>BDP|11647920596704339263</stp>
        <tr r="AB40" s="1"/>
      </tp>
      <tp t="s">
        <v>#N/A Requesting Data...2939056731</v>
        <stp/>
        <stp>BDP|16308010810374621432</stp>
        <tr r="G249" s="2"/>
      </tp>
      <tp t="s">
        <v>#N/A Requesting Data...3915843162</v>
        <stp/>
        <stp>BDP|11335406332527350653</stp>
        <tr r="F500" s="2"/>
      </tp>
      <tp t="s">
        <v>#N/A Requesting Data...3504050278</v>
        <stp/>
        <stp>BDP|17349825757365156815</stp>
        <tr r="F204" s="2"/>
      </tp>
      <tp t="s">
        <v>#N/A Requesting Data...3457069537</v>
        <stp/>
        <stp>BDP|10696348000806109259</stp>
        <tr r="H458" s="2"/>
      </tp>
      <tp t="s">
        <v>#N/A Requesting Data...3117846486</v>
        <stp/>
        <stp>BDP|13277448980941696968</stp>
        <tr r="E285" s="2"/>
      </tp>
      <tp t="s">
        <v>#N/A Requesting Data...3061187697</v>
        <stp/>
        <stp>BDP|16159319770990259546</stp>
        <tr r="E462" s="2"/>
      </tp>
      <tp t="s">
        <v>#N/A Requesting Data...3113166686</v>
        <stp/>
        <stp>BDP|12643528200958211802</stp>
        <tr r="G240" s="2"/>
      </tp>
      <tp t="s">
        <v>#N/A Requesting Data...3191572846</v>
        <stp/>
        <stp>BDP|16071634562958793906</stp>
        <tr r="E355" s="2"/>
      </tp>
      <tp t="s">
        <v>#N/A Requesting Data...3803855620</v>
        <stp/>
        <stp>BDP|15425737062816554690</stp>
        <tr r="H455" s="2"/>
      </tp>
      <tp t="s">
        <v>#N/A Requesting Data...3376371016</v>
        <stp/>
        <stp>BDP|17508796313003652602</stp>
        <tr r="G459" s="2"/>
      </tp>
      <tp t="s">
        <v>#N/A Requesting Data...2908752763</v>
        <stp/>
        <stp>BDP|15118781207312415428</stp>
        <tr r="G35" s="2"/>
      </tp>
      <tp t="s">
        <v>#N/A Requesting Data...2867869055</v>
        <stp/>
        <stp>BDP|16258602093775010898</stp>
        <tr r="G113" s="2"/>
      </tp>
      <tp t="s">
        <v>#N/A Requesting Data...3204067862</v>
        <stp/>
        <stp>BDP|11864473992228009058</stp>
        <tr r="H229" s="2"/>
      </tp>
      <tp t="s">
        <v>#N/A Requesting Data...3580588154</v>
        <stp/>
        <stp>BDP|16293160695488985209</stp>
        <tr r="G143" s="2"/>
      </tp>
      <tp t="s">
        <v>#N/A Requesting Data...3625785280</v>
        <stp/>
        <stp>BDP|11958247800320198772</stp>
        <tr r="F386" s="2"/>
      </tp>
      <tp t="s">
        <v>#N/A Requesting Data...3755363846</v>
        <stp/>
        <stp>BDP|17792864737678965045</stp>
        <tr r="H43" s="2"/>
      </tp>
      <tp t="s">
        <v>#N/A Requesting Data...3560647882</v>
        <stp/>
        <stp>BDP|14417309298662667816</stp>
        <tr r="F128" s="2"/>
      </tp>
      <tp t="s">
        <v>#N/A Requesting Data...3599659103</v>
        <stp/>
        <stp>BDP|10027951903625456893</stp>
        <tr r="E200" s="2"/>
      </tp>
      <tp t="s">
        <v>#N/A Requesting Data...3271908722</v>
        <stp/>
        <stp>BDP|10506779299172725879</stp>
        <tr r="F520" s="2"/>
      </tp>
      <tp t="s">
        <v>#N/A Requesting Data...2946309541</v>
        <stp/>
        <stp>BDP|14884822884534586405</stp>
        <tr r="H212" s="2"/>
      </tp>
      <tp t="s">
        <v>#N/A Requesting Data...2986761575</v>
        <stp/>
        <stp>BDP|10417537879413212577</stp>
        <tr r="G600" s="2"/>
      </tp>
      <tp t="s">
        <v>#N/A Requesting Data...3649142279</v>
        <stp/>
        <stp>BDP|14139447624463984522</stp>
        <tr r="H44" s="2"/>
      </tp>
      <tp t="s">
        <v>#N/A Requesting Data...3486016445</v>
        <stp/>
        <stp>BDP|10834569486261624843</stp>
        <tr r="G282" s="2"/>
      </tp>
      <tp t="s">
        <v>#N/A Requesting Data...4244386768</v>
        <stp/>
        <stp>BDP|16208912469849754470</stp>
        <tr r="AB89" s="1"/>
      </tp>
      <tp t="s">
        <v>#N/A Requesting Data...4046772198</v>
        <stp/>
        <stp>BDP|16058682656156206768</stp>
        <tr r="G376" s="2"/>
      </tp>
      <tp t="s">
        <v>#N/A Requesting Data...3802467901</v>
        <stp/>
        <stp>BDP|11091061328855080246</stp>
        <tr r="F328" s="2"/>
      </tp>
      <tp t="s">
        <v>#N/A Requesting Data...4035053120</v>
        <stp/>
        <stp>BDP|15229796963118340869</stp>
        <tr r="F444" s="2"/>
      </tp>
      <tp t="s">
        <v>#N/A Requesting Data...4259997201</v>
        <stp/>
        <stp>BDP|16258641248847223701</stp>
        <tr r="G153" s="2"/>
      </tp>
      <tp t="s">
        <v>#N/A Requesting Data...3949046760</v>
        <stp/>
        <stp>BDP|15618939858525033810</stp>
        <tr r="G40" s="2"/>
      </tp>
      <tp t="s">
        <v>#N/A Requesting Data...3896699180</v>
        <stp/>
        <stp>BDP|14549258409001064359</stp>
        <tr r="G260" s="2"/>
      </tp>
      <tp t="s">
        <v>#N/A Requesting Data...3195165726</v>
        <stp/>
        <stp>BDP|14345312811611838370</stp>
        <tr r="F541" s="2"/>
      </tp>
      <tp t="s">
        <v>#N/A Requesting Data...4129872197</v>
        <stp/>
        <stp>BDP|14940897003769621195</stp>
        <tr r="F585" s="2"/>
      </tp>
      <tp t="s">
        <v>#N/A Requesting Data...3689175511</v>
        <stp/>
        <stp>BDP|17795488466400619134</stp>
        <tr r="G160" s="2"/>
      </tp>
      <tp t="s">
        <v>#N/A Requesting Data...3089205862</v>
        <stp/>
        <stp>BDP|17052414167273834227</stp>
        <tr r="E614" s="2"/>
      </tp>
      <tp t="s">
        <v>#N/A Requesting Data...2885342633</v>
        <stp/>
        <stp>BDP|15457087327021349243</stp>
        <tr r="AB4" s="1"/>
      </tp>
      <tp t="s">
        <v>#N/A Requesting Data...3205408034</v>
        <stp/>
        <stp>BDP|12150103523357610281</stp>
        <tr r="G134" s="2"/>
      </tp>
      <tp t="s">
        <v>#N/A Requesting Data...3663249137</v>
        <stp/>
        <stp>BDP|15086040968887024007</stp>
        <tr r="G2" s="2"/>
        <tr r="G27" s="2"/>
      </tp>
      <tp t="s">
        <v>#N/A Requesting Data...3136892140</v>
        <stp/>
        <stp>BDP|14797850906651810935</stp>
        <tr r="H394" s="2"/>
      </tp>
      <tp t="s">
        <v>#N/A Requesting Data...3130226492</v>
        <stp/>
        <stp>BDP|14025923589927021644</stp>
        <tr r="F478" s="2"/>
      </tp>
      <tp t="s">
        <v>#N/A Requesting Data...3059744165</v>
        <stp/>
        <stp>BDP|15488391851081752641</stp>
        <tr r="E48" s="2"/>
      </tp>
      <tp t="s">
        <v>#N/A Requesting Data...4278977267</v>
        <stp/>
        <stp>BDP|11473714362404947013</stp>
        <tr r="G544" s="2"/>
      </tp>
      <tp t="s">
        <v>#N/A Requesting Data...3976580723</v>
        <stp/>
        <stp>BDP|15099395666704728062</stp>
        <tr r="H260" s="2"/>
      </tp>
      <tp t="s">
        <v>#N/A Requesting Data...3141908201</v>
        <stp/>
        <stp>BDP|11227931346341933909</stp>
        <tr r="F232" s="2"/>
      </tp>
      <tp t="s">
        <v>#N/A Requesting Data...3832773422</v>
        <stp/>
        <stp>BDP|14300762868915153427</stp>
        <tr r="F536" s="2"/>
      </tp>
      <tp t="s">
        <v>#N/A Requesting Data...2978361150</v>
        <stp/>
        <stp>BDP|14802587103653596681</stp>
        <tr r="E451" s="2"/>
      </tp>
      <tp t="s">
        <v>#N/A Requesting Data...3095034786</v>
        <stp/>
        <stp>BDP|13993822664209247034</stp>
        <tr r="AB67" s="1"/>
      </tp>
      <tp t="s">
        <v>#N/A Requesting Data...4290497193</v>
        <stp/>
        <stp>BDP|17948451077537686737</stp>
        <tr r="G476" s="2"/>
      </tp>
      <tp t="s">
        <v>#N/A Requesting Data...3492560841</v>
        <stp/>
        <stp>BDP|18219759935470931851</stp>
        <tr r="G590" s="2"/>
      </tp>
      <tp t="s">
        <v>#N/A Requesting Data...3405556563</v>
        <stp/>
        <stp>BDP|14571165100240904143</stp>
        <tr r="AA18" s="1"/>
      </tp>
      <tp t="s">
        <v>#N/A Requesting Data...4067047334</v>
        <stp/>
        <stp>BDP|14129301020562941360</stp>
        <tr r="Z47" s="1"/>
      </tp>
      <tp t="s">
        <v>#N/A Requesting Data...3416372767</v>
        <stp/>
        <stp>BDP|10328893287966081235</stp>
        <tr r="Z62" s="1"/>
      </tp>
      <tp t="s">
        <v>#N/A Requesting Data...3312312690</v>
        <stp/>
        <stp>BDP|13787272736137286158</stp>
        <tr r="F129" s="2"/>
      </tp>
      <tp t="s">
        <v>#N/A Requesting Data...3305751549</v>
        <stp/>
        <stp>BDP|15705721243806231451</stp>
        <tr r="F489" s="2"/>
      </tp>
      <tp t="s">
        <v>#N/A Requesting Data...3629060410</v>
        <stp/>
        <stp>BDP|15987629379841519162</stp>
        <tr r="F53" s="2"/>
      </tp>
      <tp t="s">
        <v>#N/A Requesting Data...3724933078</v>
        <stp/>
        <stp>BDP|10329217224173597725</stp>
        <tr r="G522" s="2"/>
      </tp>
      <tp t="s">
        <v>#N/A Requesting Data...4136605246</v>
        <stp/>
        <stp>BDP|11758552548396384280</stp>
        <tr r="E414" s="2"/>
      </tp>
      <tp t="s">
        <v>#N/A Requesting Data...3811111970</v>
        <stp/>
        <stp>BDP|12936390052480624057</stp>
        <tr r="G365" s="2"/>
      </tp>
      <tp t="s">
        <v>#N/A Requesting Data...3184640465</v>
        <stp/>
        <stp>BDP|18115518427249650209</stp>
        <tr r="G214" s="2"/>
      </tp>
      <tp t="s">
        <v>#N/A Requesting Data...4129596070</v>
        <stp/>
        <stp>BDP|15460035611291639117</stp>
        <tr r="G336" s="2"/>
      </tp>
      <tp t="s">
        <v>#N/A Requesting Data...3778405655</v>
        <stp/>
        <stp>BDP|15776886695578274889</stp>
        <tr r="G412" s="2"/>
      </tp>
      <tp t="s">
        <v>#N/A Requesting Data...4116845466</v>
        <stp/>
        <stp>BDP|12167093300814955214</stp>
        <tr r="F420" s="2"/>
      </tp>
      <tp t="s">
        <v>#N/A Requesting Data...4262495204</v>
        <stp/>
        <stp>BDP|16383006294772775902</stp>
        <tr r="H114" s="2"/>
      </tp>
      <tp t="s">
        <v>#N/A Requesting Data...3441577637</v>
        <stp/>
        <stp>BDP|10385220115252112558</stp>
        <tr r="E194" s="2"/>
      </tp>
      <tp t="s">
        <v>#N/A Requesting Data...4255797113</v>
        <stp/>
        <stp>BDP|16667283062174539295</stp>
        <tr r="F616" s="2"/>
      </tp>
      <tp t="s">
        <v>#N/A Requesting Data...2989221489</v>
        <stp/>
        <stp>BDP|14471361657533341565</stp>
        <tr r="G12" s="2"/>
      </tp>
      <tp t="s">
        <v>#N/A Requesting Data...3781800071</v>
        <stp/>
        <stp>BDP|18445674008589968322</stp>
        <tr r="F497" s="2"/>
      </tp>
      <tp t="s">
        <v>#N/A Requesting Data...4177904455</v>
        <stp/>
        <stp>BDP|17273663591165404915</stp>
        <tr r="E413" s="2"/>
      </tp>
      <tp t="s">
        <v>#N/A Requesting Data...2985965675</v>
        <stp/>
        <stp>BDP|13943565520215712585</stp>
        <tr r="F562" s="2"/>
      </tp>
      <tp t="s">
        <v>#N/A Requesting Data...3737426348</v>
        <stp/>
        <stp>BDP|12879696714694046557</stp>
        <tr r="E295" s="2"/>
      </tp>
      <tp t="s">
        <v>#N/A Requesting Data...4008227544</v>
        <stp/>
        <stp>BDP|10944916960279398287</stp>
        <tr r="H377" s="2"/>
      </tp>
      <tp t="s">
        <v>#N/A Requesting Data...3815730440</v>
        <stp/>
        <stp>BDP|15780502185579742568</stp>
        <tr r="H78" s="2"/>
      </tp>
      <tp t="s">
        <v>#N/A Requesting Data...3776515946</v>
        <stp/>
        <stp>BDP|15600408234861971787</stp>
        <tr r="H367" s="2"/>
      </tp>
      <tp t="s">
        <v>#N/A Requesting Data...3386681172</v>
        <stp/>
        <stp>BDP|11859003345072639382</stp>
        <tr r="H9" s="2"/>
      </tp>
      <tp t="s">
        <v>#N/A Requesting Data...3038185897</v>
        <stp/>
        <stp>BDP|11901586132570514357</stp>
        <tr r="H10" s="2"/>
      </tp>
      <tp t="s">
        <v>#N/A Requesting Data...4224127979</v>
        <stp/>
        <stp>BDP|14064618213134159313</stp>
        <tr r="G197" s="2"/>
      </tp>
      <tp t="s">
        <v>#N/A Requesting Data...4211839388</v>
        <stp/>
        <stp>BDP|14330193884780289994</stp>
        <tr r="H216" s="2"/>
      </tp>
      <tp t="s">
        <v>#N/A Requesting Data...3407003612</v>
        <stp/>
        <stp>BDP|11343518870254778303</stp>
        <tr r="H88" s="2"/>
      </tp>
      <tp t="s">
        <v>#N/A Requesting Data...3403606930</v>
        <stp/>
        <stp>BDP|12751434160606213238</stp>
        <tr r="E38" s="2"/>
      </tp>
      <tp t="s">
        <v>#N/A Requesting Data...3165291211</v>
        <stp/>
        <stp>BDP|16354582856551824305</stp>
        <tr r="F321" s="2"/>
      </tp>
      <tp t="s">
        <v>#N/A Requesting Data...3547146390</v>
        <stp/>
        <stp>BDP|12379315260375313659</stp>
        <tr r="E443" s="2"/>
      </tp>
      <tp t="s">
        <v>#N/A Requesting Data...3563553056</v>
        <stp/>
        <stp>BDP|13547607548445174089</stp>
        <tr r="H298" s="2"/>
      </tp>
      <tp t="s">
        <v>#N/A Requesting Data...3300695356</v>
        <stp/>
        <stp>BDP|18305962744891644036</stp>
        <tr r="G71" s="2"/>
      </tp>
      <tp t="s">
        <v>#N/A Requesting Data...3171772445</v>
        <stp/>
        <stp>BDP|11796103513901955498</stp>
        <tr r="H497" s="2"/>
      </tp>
      <tp t="s">
        <v>#N/A Requesting Data...3581282267</v>
        <stp/>
        <stp>BDP|10325009476117331424</stp>
        <tr r="G346" s="2"/>
      </tp>
      <tp t="s">
        <v>#N/A Requesting Data...4250314585</v>
        <stp/>
        <stp>BDP|12099780823043739089</stp>
        <tr r="H92" s="2"/>
      </tp>
      <tp t="s">
        <v>#N/A Requesting Data...4280812788</v>
        <stp/>
        <stp>BDP|15460097869826920198</stp>
        <tr r="H330" s="2"/>
      </tp>
      <tp t="s">
        <v>#N/A Requesting Data...3788375892</v>
        <stp/>
        <stp>BDP|11385909434078277715</stp>
        <tr r="AB98" s="1"/>
      </tp>
      <tp t="s">
        <v>#N/A Requesting Data...3930764437</v>
        <stp/>
        <stp>BDP|17668577008267422193</stp>
        <tr r="E191" s="2"/>
      </tp>
      <tp t="s">
        <v>#N/A Requesting Data...4251985288</v>
        <stp/>
        <stp>BDP|13406182947830820279</stp>
        <tr r="F507" s="2"/>
      </tp>
      <tp t="s">
        <v>#N/A Requesting Data...3330452147</v>
        <stp/>
        <stp>BDP|11713143366180201233</stp>
        <tr r="H503" s="2"/>
      </tp>
      <tp t="s">
        <v>#N/A Requesting Data...3783801396</v>
        <stp/>
        <stp>BDP|17677858188982647192</stp>
        <tr r="F620" s="2"/>
      </tp>
      <tp t="s">
        <v>#N/A Requesting Data...3453329988</v>
        <stp/>
        <stp>BDP|11447560686921556958</stp>
        <tr r="E404" s="2"/>
      </tp>
      <tp t="s">
        <v>#N/A Requesting Data...4228014772</v>
        <stp/>
        <stp>BDP|13299806123208666500</stp>
        <tr r="H571" s="2"/>
      </tp>
      <tp t="s">
        <v>#N/A Requesting Data...3819962136</v>
        <stp/>
        <stp>BDP|15929283196232813889</stp>
        <tr r="G613" s="2"/>
      </tp>
      <tp t="s">
        <v>#N/A Requesting Data...2935677072</v>
        <stp/>
        <stp>BDP|14197419936323601470</stp>
        <tr r="F308" s="2"/>
      </tp>
      <tp t="s">
        <v>#N/A Requesting Data...3168873780</v>
        <stp/>
        <stp>BDP|13761877581781400625</stp>
        <tr r="F111" s="2"/>
      </tp>
      <tp t="s">
        <v>#N/A Requesting Data...4067108642</v>
        <stp/>
        <stp>BDP|14718078314909265814</stp>
        <tr r="F3" s="2"/>
      </tp>
      <tp t="s">
        <v>#N/A Requesting Data...4270550537</v>
        <stp/>
        <stp>BDP|13521656193450334871</stp>
        <tr r="H20" s="2"/>
      </tp>
      <tp t="s">
        <v>#N/A Requesting Data...3759700119</v>
        <stp/>
        <stp>BDP|18028151913778429457</stp>
        <tr r="AB71" s="1"/>
      </tp>
      <tp t="s">
        <v>#N/A Requesting Data...3216927139</v>
        <stp/>
        <stp>BDP|17724498555441401388</stp>
        <tr r="AB97" s="1"/>
      </tp>
      <tp t="s">
        <v>#N/A Requesting Data...3463064939</v>
        <stp/>
        <stp>BDP|16049214861422114461</stp>
        <tr r="F459" s="2"/>
      </tp>
      <tp t="s">
        <v>#N/A Requesting Data...3447432616</v>
        <stp/>
        <stp>BDP|13030926099270842759</stp>
        <tr r="H449" s="2"/>
      </tp>
      <tp t="s">
        <v>#N/A Requesting Data...3276090085</v>
        <stp/>
        <stp>BDP|11787341239066559394</stp>
        <tr r="H249" s="2"/>
      </tp>
      <tp t="s">
        <v>#N/A Requesting Data...3769376572</v>
        <stp/>
        <stp>BDP|16526211130860144337</stp>
        <tr r="H105" s="2"/>
      </tp>
      <tp t="s">
        <v>#N/A Requesting Data...3919113890</v>
        <stp/>
        <stp>BDP|10223778055594373257</stp>
        <tr r="H254" s="2"/>
      </tp>
      <tp t="s">
        <v>#N/A Requesting Data...3251397106</v>
        <stp/>
        <stp>BDP|14783892589171731166</stp>
        <tr r="E606" s="2"/>
      </tp>
      <tp t="s">
        <v>#N/A Requesting Data...4033681041</v>
        <stp/>
        <stp>BDP|11528733000753650164</stp>
        <tr r="F87" s="2"/>
      </tp>
      <tp t="s">
        <v>#N/A Requesting Data...3058483772</v>
        <stp/>
        <stp>BDP|12564257360577644506</stp>
        <tr r="E199" s="2"/>
      </tp>
      <tp t="s">
        <v>#N/A Requesting Data...3281716089</v>
        <stp/>
        <stp>BDP|12506356504754342111</stp>
        <tr r="H491" s="2"/>
      </tp>
      <tp t="s">
        <v>#N/A Requesting Data...3087933280</v>
        <stp/>
        <stp>BDP|12239885060408305109</stp>
        <tr r="E223" s="2"/>
      </tp>
      <tp t="s">
        <v>#N/A Requesting Data...3958361385</v>
        <stp/>
        <stp>BDP|13320163835775887115</stp>
        <tr r="H245" s="2"/>
      </tp>
      <tp t="s">
        <v>#N/A Requesting Data...3148867301</v>
        <stp/>
        <stp>BDP|17036706478855002713</stp>
        <tr r="E83" s="2"/>
      </tp>
      <tp t="s">
        <v>#N/A Requesting Data...3789407301</v>
        <stp/>
        <stp>BDP|14801011569700899713</stp>
        <tr r="AB90" s="1"/>
      </tp>
      <tp t="s">
        <v>#N/A Requesting Data...3347695911</v>
        <stp/>
        <stp>BDP|14806540204854637078</stp>
        <tr r="H313" s="2"/>
      </tp>
      <tp t="s">
        <v>#N/A Requesting Data...3469840190</v>
        <stp/>
        <stp>BDP|10265218671587934729</stp>
        <tr r="AA67" s="1"/>
      </tp>
      <tp t="s">
        <v>#N/A Requesting Data...3422387849</v>
        <stp/>
        <stp>BDP|13543081938421418480</stp>
        <tr r="H68" s="2"/>
      </tp>
      <tp t="s">
        <v>#N/A Requesting Data...3151802926</v>
        <stp/>
        <stp>BDP|12150012415155989358</stp>
        <tr r="E305" s="2"/>
      </tp>
      <tp t="s">
        <v>#N/A Requesting Data...3003033507</v>
        <stp/>
        <stp>BDP|16695578890997997817</stp>
        <tr r="E276" s="2"/>
      </tp>
      <tp t="s">
        <v>#N/A Requesting Data...3606670583</v>
        <stp/>
        <stp>BDP|13909479581052420831</stp>
        <tr r="H180" s="2"/>
      </tp>
      <tp t="s">
        <v>#N/A Requesting Data...2979560189</v>
        <stp/>
        <stp>BDP|15304792131483102721</stp>
        <tr r="G572" s="2"/>
      </tp>
      <tp t="s">
        <v>#N/A Requesting Data...3872689494</v>
        <stp/>
        <stp>BDP|17581982921740709938</stp>
        <tr r="F64" s="2"/>
      </tp>
      <tp t="s">
        <v>#N/A Requesting Data...3055723708</v>
        <stp/>
        <stp>BDP|13085655769901164769</stp>
        <tr r="F508" s="2"/>
      </tp>
      <tp t="s">
        <v>#N/A Requesting Data...3466047821</v>
        <stp/>
        <stp>BDP|12144689257114470012</stp>
        <tr r="E229" s="2"/>
      </tp>
      <tp t="s">
        <v>#N/A Requesting Data...4225088782</v>
        <stp/>
        <stp>BDP|10033516904049890964</stp>
        <tr r="Z57" s="1"/>
      </tp>
      <tp t="s">
        <v>#N/A Requesting Data...3867141026</v>
        <stp/>
        <stp>BDP|14397446037322296499</stp>
        <tr r="G394" s="2"/>
      </tp>
      <tp t="s">
        <v>#N/A Requesting Data...4221981111</v>
        <stp/>
        <stp>BDP|14020554648046732617</stp>
        <tr r="F85" s="2"/>
      </tp>
      <tp t="s">
        <v>#N/A Requesting Data...3257247724</v>
        <stp/>
        <stp>BDP|10259508478221572648</stp>
        <tr r="E102" s="2"/>
      </tp>
      <tp t="s">
        <v>#N/A Requesting Data...3180644136</v>
        <stp/>
        <stp>BDP|10414561859801373439</stp>
        <tr r="F257" s="2"/>
      </tp>
      <tp t="s">
        <v>#N/A Requesting Data...3936849147</v>
        <stp/>
        <stp>BDP|12256299546014191573</stp>
        <tr r="E457" s="2"/>
      </tp>
      <tp t="s">
        <v>#N/A Requesting Data...3116782786</v>
        <stp/>
        <stp>BDP|10585297117277343125</stp>
        <tr r="E432" s="2"/>
      </tp>
      <tp t="s">
        <v>#N/A Requesting Data...3402530279</v>
        <stp/>
        <stp>BDP|14952634010433579553</stp>
        <tr r="G343" s="2"/>
      </tp>
      <tp t="s">
        <v>#N/A Requesting Data...3489973626</v>
        <stp/>
        <stp>BDP|14667430024335307282</stp>
        <tr r="G283" s="2"/>
      </tp>
      <tp t="s">
        <v>#N/A Requesting Data...3537586081</v>
        <stp/>
        <stp>BDP|15154322854555944343</stp>
        <tr r="E81" s="2"/>
      </tp>
      <tp t="s">
        <v>#N/A Requesting Data...3704831778</v>
        <stp/>
        <stp>BDP|16646792192815679862</stp>
        <tr r="H120" s="2"/>
      </tp>
      <tp t="s">
        <v>#N/A Requesting Data...3408051693</v>
        <stp/>
        <stp>BDP|15132043814569822848</stp>
        <tr r="G177" s="2"/>
      </tp>
      <tp t="s">
        <v>#N/A Requesting Data...3513284547</v>
        <stp/>
        <stp>BDP|10372849459159299115</stp>
        <tr r="F433" s="2"/>
      </tp>
      <tp t="s">
        <v>#N/A Requesting Data...3211762736</v>
        <stp/>
        <stp>BDP|10320774060331141583</stp>
        <tr r="G405" s="2"/>
      </tp>
      <tp t="s">
        <v>#N/A Requesting Data...3721624232</v>
        <stp/>
        <stp>BDP|15950500442885453429</stp>
        <tr r="H306" s="2"/>
      </tp>
      <tp t="s">
        <v>#N/A Requesting Data...3590152217</v>
        <stp/>
        <stp>BDP|17002396901645330462</stp>
        <tr r="Z2" s="1"/>
      </tp>
      <tp t="s">
        <v>#N/A Requesting Data...3368701681</v>
        <stp/>
        <stp>BDP|17088108938070064057</stp>
        <tr r="E59" s="2"/>
      </tp>
      <tp t="s">
        <v>#N/A Requesting Data...3091701394</v>
        <stp/>
        <stp>BDP|10169154974081505287</stp>
        <tr r="H211" s="2"/>
      </tp>
      <tp t="s">
        <v>#N/A Requesting Data...3550651783</v>
        <stp/>
        <stp>BDP|16832323363591616721</stp>
        <tr r="E453" s="2"/>
      </tp>
      <tp t="s">
        <v>#N/A Requesting Data...4076312539</v>
        <stp/>
        <stp>BDP|16981702563891604317</stp>
        <tr r="G291" s="2"/>
      </tp>
      <tp t="s">
        <v>#N/A Requesting Data...3058972758</v>
        <stp/>
        <stp>BDP|17493755627924377399</stp>
        <tr r="F6" s="2"/>
      </tp>
      <tp t="s">
        <v>#N/A Requesting Data...2998224770</v>
        <stp/>
        <stp>BDP|12266166143475896735</stp>
        <tr r="H435" s="2"/>
      </tp>
      <tp t="s">
        <v>#N/A Requesting Data...3944722059</v>
        <stp/>
        <stp>BDP|16190941590026134583</stp>
        <tr r="G586" s="2"/>
      </tp>
      <tp t="s">
        <v>#N/A Requesting Data...3980080393</v>
        <stp/>
        <stp>BDP|11040261778891268009</stp>
        <tr r="E607" s="2"/>
      </tp>
      <tp t="s">
        <v>#N/A Requesting Data...3797766808</v>
        <stp/>
        <stp>BDP|10626178959326548727</stp>
        <tr r="F593" s="2"/>
      </tp>
      <tp t="s">
        <v>#N/A Requesting Data...3898463432</v>
        <stp/>
        <stp>BDP|14421098559265872131</stp>
        <tr r="E592" s="2"/>
      </tp>
      <tp t="s">
        <v>#N/A Requesting Data...3393588913</v>
        <stp/>
        <stp>BDP|14439200027842879341</stp>
        <tr r="H131" s="2"/>
      </tp>
      <tp t="s">
        <v>#N/A Requesting Data...3498216131</v>
        <stp/>
        <stp>BDP|10157232108783353467</stp>
        <tr r="F559" s="2"/>
      </tp>
      <tp t="s">
        <v>#N/A Requesting Data...4227180308</v>
        <stp/>
        <stp>BDP|12662683045537243264</stp>
        <tr r="F55" s="2"/>
      </tp>
      <tp t="s">
        <v>#N/A Requesting Data...4236641587</v>
        <stp/>
        <stp>BDP|10249312343630816274</stp>
        <tr r="G442" s="2"/>
      </tp>
      <tp t="s">
        <v>#N/A Requesting Data...3592795466</v>
        <stp/>
        <stp>BDP|18137904857900850100</stp>
        <tr r="AB88" s="1"/>
      </tp>
      <tp t="s">
        <v>#N/A Requesting Data...3232682110</v>
        <stp/>
        <stp>BDP|12283733229166774416</stp>
        <tr r="H291" s="2"/>
      </tp>
      <tp t="s">
        <v>#N/A Requesting Data...3613295485</v>
        <stp/>
        <stp>BDP|17879668932042539576</stp>
        <tr r="H543" s="2"/>
      </tp>
      <tp t="s">
        <v>#N/A Requesting Data...3715881449</v>
        <stp/>
        <stp>BDP|11446271477165892427</stp>
        <tr r="F177" s="2"/>
      </tp>
      <tp t="s">
        <v>#N/A Requesting Data...3460679223</v>
        <stp/>
        <stp>BDP|11536476919148382961</stp>
        <tr r="G135" s="2"/>
      </tp>
      <tp t="s">
        <v>#N/A Requesting Data...3068465565</v>
        <stp/>
        <stp>BDP|12809718794629509062</stp>
        <tr r="F516" s="2"/>
      </tp>
      <tp t="s">
        <v>#N/A Requesting Data...3664586277</v>
        <stp/>
        <stp>BDP|14101804007418036184</stp>
        <tr r="Z43" s="1"/>
      </tp>
      <tp t="s">
        <v>#N/A Requesting Data...3366326624</v>
        <stp/>
        <stp>BDP|14990774377076787703</stp>
        <tr r="H524" s="2"/>
      </tp>
      <tp t="s">
        <v>#N/A Requesting Data...4105890576</v>
        <stp/>
        <stp>BDP|11473149503995590074</stp>
        <tr r="H349" s="2"/>
      </tp>
      <tp t="s">
        <v>#N/A Requesting Data...3588042632</v>
        <stp/>
        <stp>BDP|16134906873818219511</stp>
        <tr r="G582" s="2"/>
      </tp>
      <tp t="s">
        <v>#N/A Requesting Data...4259355612</v>
        <stp/>
        <stp>BDP|11554283128814001054</stp>
        <tr r="F228" s="2"/>
      </tp>
      <tp t="s">
        <v>#N/A Requesting Data...3065816006</v>
        <stp/>
        <stp>BDP|10380731210714410747</stp>
        <tr r="E528" s="2"/>
        <tr r="E530" s="2"/>
        <tr r="E542" s="2"/>
        <tr r="E625" s="2"/>
        <tr r="E627" s="2"/>
        <tr r="E629" s="2"/>
        <tr r="E631" s="2"/>
        <tr r="E633" s="2"/>
        <tr r="E635" s="2"/>
        <tr r="E637" s="2"/>
      </tp>
      <tp t="s">
        <v>#N/A Requesting Data...3106927011</v>
        <stp/>
        <stp>BDP|18342852703817050254</stp>
        <tr r="G621" s="2"/>
      </tp>
      <tp t="s">
        <v>#N/A Requesting Data...3105348250</v>
        <stp/>
        <stp>BDP|17088110331720251011</stp>
        <tr r="G496" s="2"/>
      </tp>
      <tp t="s">
        <v>#N/A Requesting Data...3085372351</v>
        <stp/>
        <stp>BDP|10281373283176218876</stp>
        <tr r="E329" s="2"/>
      </tp>
      <tp t="s">
        <v>#N/A Requesting Data...3279104945</v>
        <stp/>
        <stp>BDP|12952094588929243690</stp>
        <tr r="F263" s="2"/>
      </tp>
      <tp t="s">
        <v>#N/A Requesting Data...3096141120</v>
        <stp/>
        <stp>BDP|16900074554906887019</stp>
        <tr r="H167" s="2"/>
      </tp>
      <tp t="s">
        <v>#N/A Requesting Data...3983942034</v>
        <stp/>
        <stp>BDP|10233290466598971973</stp>
        <tr r="G607" s="2"/>
      </tp>
      <tp t="s">
        <v>#N/A Requesting Data...4136064058</v>
        <stp/>
        <stp>BDP|10461759612152991196</stp>
        <tr r="G229" s="2"/>
      </tp>
      <tp t="s">
        <v>#N/A Requesting Data...3122080541</v>
        <stp/>
        <stp>BDP|16390431751823249104</stp>
        <tr r="H414" s="2"/>
      </tp>
      <tp t="s">
        <v>#N/A Requesting Data...4192352547</v>
        <stp/>
        <stp>BDP|15551054163232071403</stp>
        <tr r="G220" s="2"/>
      </tp>
      <tp t="s">
        <v>#N/A Requesting Data...3522583561</v>
        <stp/>
        <stp>BDP|15937304189073762853</stp>
        <tr r="H179" s="2"/>
      </tp>
      <tp t="s">
        <v>#N/A Requesting Data...4127589568</v>
        <stp/>
        <stp>BDP|10148124737381155674</stp>
        <tr r="G373" s="2"/>
      </tp>
      <tp t="s">
        <v>#N/A Requesting Data...3425926310</v>
        <stp/>
        <stp>BDP|14303494817437799388</stp>
        <tr r="F449" s="2"/>
      </tp>
      <tp t="s">
        <v>#N/A Requesting Data...3824434498</v>
        <stp/>
        <stp>BDP|12365545465860679416</stp>
        <tr r="G137" s="2"/>
      </tp>
      <tp t="s">
        <v>#N/A Requesting Data...4039304238</v>
        <stp/>
        <stp>BDP|10666760845813476544</stp>
        <tr r="E64" s="2"/>
      </tp>
      <tp t="s">
        <v>#N/A Requesting Data...3396999267</v>
        <stp/>
        <stp>BDP|18226941647892017246</stp>
        <tr r="H419" s="2"/>
      </tp>
      <tp t="s">
        <v>#N/A Requesting Data...3393771030</v>
        <stp/>
        <stp>BDP|10632776874785876086</stp>
        <tr r="E308" s="2"/>
      </tp>
      <tp t="s">
        <v>#N/A Requesting Data...3809579285</v>
        <stp/>
        <stp>BDP|10469973604535420960</stp>
        <tr r="E182" s="2"/>
      </tp>
      <tp t="s">
        <v>#N/A Requesting Data...3387786729</v>
        <stp/>
        <stp>BDP|11295116749157981664</stp>
        <tr r="E603" s="2"/>
      </tp>
      <tp t="s">
        <v>#N/A Requesting Data...3367920162</v>
        <stp/>
        <stp>BDP|13995463881628845239</stp>
        <tr r="G372" s="2"/>
      </tp>
      <tp t="s">
        <v>#N/A Requesting Data...4030989559</v>
        <stp/>
        <stp>BDP|16865786250940468101</stp>
        <tr r="E11" s="2"/>
      </tp>
      <tp t="s">
        <v>#N/A Requesting Data...4231855141</v>
        <stp/>
        <stp>BDP|12650943988687992175</stp>
        <tr r="AB80" s="1"/>
      </tp>
      <tp t="s">
        <v>#N/A Requesting Data...3057719382</v>
        <stp/>
        <stp>BDP|17150459319952804512</stp>
        <tr r="F7" s="2"/>
      </tp>
      <tp t="s">
        <v>#N/A Requesting Data...3327663131</v>
        <stp/>
        <stp>BDP|12882541857590848741</stp>
        <tr r="F590" s="2"/>
      </tp>
      <tp t="s">
        <v>#N/A Requesting Data...3397304485</v>
        <stp/>
        <stp>BDP|10888125550085409493</stp>
        <tr r="E342" s="2"/>
      </tp>
      <tp t="s">
        <v>#N/A Requesting Data...3733610025</v>
        <stp/>
        <stp>BDP|17223689638690330762</stp>
        <tr r="G567" s="2"/>
      </tp>
      <tp t="s">
        <v>#N/A Requesting Data...4123467315</v>
        <stp/>
        <stp>BDP|12851040012347138182</stp>
        <tr r="H265" s="2"/>
      </tp>
      <tp t="s">
        <v>#N/A Requesting Data...3358980181</v>
        <stp/>
        <stp>BDP|16280338294241439866</stp>
        <tr r="AA48" s="1"/>
      </tp>
      <tp t="s">
        <v>#N/A Requesting Data...3586816984</v>
        <stp/>
        <stp>BDP|15191291229732601209</stp>
        <tr r="F333" s="2"/>
      </tp>
      <tp t="s">
        <v>#N/A Requesting Data...3367846077</v>
        <stp/>
        <stp>BDP|16790498305996406197</stp>
        <tr r="AA96" s="1"/>
      </tp>
      <tp t="s">
        <v>#N/A Requesting Data...3723924842</v>
        <stp/>
        <stp>BDP|12358564072342204731</stp>
        <tr r="H363" s="2"/>
      </tp>
      <tp t="s">
        <v>#N/A Requesting Data...4125150344</v>
        <stp/>
        <stp>BDP|13340334707192022711</stp>
        <tr r="H60" s="2"/>
      </tp>
      <tp t="s">
        <v>#N/A Requesting Data...4172560646</v>
        <stp/>
        <stp>BDP|13392300078877992549</stp>
        <tr r="F515" s="2"/>
      </tp>
    </main>
    <main first="bofaddin.rtdserver">
      <tp t="s">
        <v>#N/A Requesting Data...3121540311</v>
        <stp/>
        <stp>BDP|3902300485805606104</stp>
        <tr r="G305" s="2"/>
      </tp>
      <tp t="s">
        <v>#N/A Requesting Data...4265759673</v>
        <stp/>
        <stp>BDP|7873332027319208340</stp>
        <tr r="E166" s="2"/>
      </tp>
      <tp t="s">
        <v>#N/A Requesting Data...3825148571</v>
        <stp/>
        <stp>BDP|9123104669420485272</stp>
        <tr r="F555" s="2"/>
      </tp>
      <tp t="s">
        <v>#N/A Requesting Data...3422105627</v>
        <stp/>
        <stp>BDP|4687955439222319023</stp>
        <tr r="E338" s="2"/>
      </tp>
      <tp t="s">
        <v>#N/A Requesting Data...3634332301</v>
        <stp/>
        <stp>BDP|4536239885243803104</stp>
        <tr r="E464" s="2"/>
      </tp>
      <tp t="s">
        <v>#N/A Requesting Data...3754363078</v>
        <stp/>
        <stp>BDP|3320970558204388747</stp>
        <tr r="G610" s="2"/>
      </tp>
      <tp t="s">
        <v>#N/A Requesting Data...3748581659</v>
        <stp/>
        <stp>BDP|6211554251609885355</stp>
        <tr r="G235" s="2"/>
      </tp>
      <tp t="s">
        <v>#N/A Requesting Data...3730005698</v>
        <stp/>
        <stp>BDP|9868273666713595278</stp>
        <tr r="H222" s="2"/>
      </tp>
      <tp t="s">
        <v>#N/A Requesting Data...3276632215</v>
        <stp/>
        <stp>BDP|9974545757521633476</stp>
        <tr r="H502" s="2"/>
      </tp>
      <tp t="s">
        <v>#N/A Requesting Data...3820404283</v>
        <stp/>
        <stp>BDP|3066225929479282628</stp>
        <tr r="F282" s="2"/>
      </tp>
      <tp t="s">
        <v>#N/A Requesting Data...3827857712</v>
        <stp/>
        <stp>BDP|4594012508271569915</stp>
        <tr r="E438" s="2"/>
      </tp>
      <tp t="s">
        <v>#N/A Requesting Data...3416891600</v>
        <stp/>
        <stp>BDP|7914028936628430011</stp>
        <tr r="AA95" s="1"/>
      </tp>
      <tp t="s">
        <v>#N/A Requesting Data...3218778129</v>
        <stp/>
        <stp>BDP|6050567590091715788</stp>
        <tr r="E508" s="2"/>
      </tp>
      <tp t="s">
        <v>#N/A Requesting Data...3829911702</v>
        <stp/>
        <stp>BDP|8766575264221997646</stp>
        <tr r="F143" s="2"/>
      </tp>
      <tp t="s">
        <v>#N/A Requesting Data...3452475203</v>
        <stp/>
        <stp>BDP|4059919001008854919</stp>
        <tr r="E360" s="2"/>
      </tp>
      <tp t="s">
        <v>#N/A Requesting Data...3102103004</v>
        <stp/>
        <stp>BDP|8902826256500189959</stp>
        <tr r="E167" s="2"/>
      </tp>
      <tp t="s">
        <v>#N/A Requesting Data...3488679360</v>
        <stp/>
        <stp>BDP|7921822630998440815</stp>
        <tr r="G263" s="2"/>
      </tp>
      <tp t="s">
        <v>#N/A Requesting Data...3532164682</v>
        <stp/>
        <stp>BDP|8123120217022906639</stp>
        <tr r="E350" s="2"/>
      </tp>
      <tp t="s">
        <v>#N/A Requesting Data...3737541788</v>
        <stp/>
        <stp>BDP|6328372565446896977</stp>
        <tr r="G26" s="2"/>
      </tp>
      <tp t="s">
        <v>#N/A Requesting Data...4202982616</v>
        <stp/>
        <stp>BDP|1288291289087814047</stp>
        <tr r="E39" s="2"/>
      </tp>
      <tp t="s">
        <v>#N/A Requesting Data...3146865204</v>
        <stp/>
        <stp>BDP|2136278039057795862</stp>
        <tr r="H434" s="2"/>
      </tp>
      <tp t="s">
        <v>#N/A Requesting Data...3894083909</v>
        <stp/>
        <stp>BDP|9616153657277917633</stp>
        <tr r="H441" s="2"/>
      </tp>
      <tp t="s">
        <v>#N/A Requesting Data...3110669148</v>
        <stp/>
        <stp>BDP|3689881690156433852</stp>
        <tr r="F473" s="2"/>
      </tp>
      <tp t="s">
        <v>#N/A Requesting Data...4121546099</v>
        <stp/>
        <stp>BDP|4029058738323068821</stp>
        <tr r="H337" s="2"/>
      </tp>
      <tp t="s">
        <v>#N/A Requesting Data...4201701828</v>
        <stp/>
        <stp>BDP|7159123835288877111</stp>
        <tr r="E612" s="2"/>
      </tp>
      <tp t="s">
        <v>#N/A Requesting Data...3989633770</v>
        <stp/>
        <stp>BDP|4626796884256262158</stp>
        <tr r="H470" s="2"/>
      </tp>
      <tp t="s">
        <v>#N/A Requesting Data...3192660477</v>
        <stp/>
        <stp>BDP|4728919380431341893</stp>
        <tr r="G382" s="2"/>
      </tp>
      <tp t="s">
        <v>#N/A Requesting Data...3856158876</v>
        <stp/>
        <stp>BDP|6487656589933407708</stp>
        <tr r="H553" s="2"/>
      </tp>
      <tp t="s">
        <v>#N/A Requesting Data...4257648316</v>
        <stp/>
        <stp>BDP|1593897270606558453</stp>
        <tr r="H343" s="2"/>
      </tp>
      <tp t="s">
        <v>#N/A Requesting Data...3648434768</v>
        <stp/>
        <stp>BDP|6116064677909461488</stp>
        <tr r="H539" s="2"/>
      </tp>
      <tp t="s">
        <v>#N/A Requesting Data...3961840725</v>
        <stp/>
        <stp>BDP|9733394970493387202</stp>
        <tr r="E6" s="2"/>
      </tp>
      <tp t="s">
        <v>#N/A Requesting Data...4278737051</v>
        <stp/>
        <stp>BDP|8573782257255646312</stp>
        <tr r="F463" s="2"/>
      </tp>
      <tp t="s">
        <v>#N/A Requesting Data...4053901085</v>
        <stp/>
        <stp>BDP|6901564035359254550</stp>
        <tr r="AB42" s="1"/>
      </tp>
      <tp t="s">
        <v>#N/A Requesting Data...3724639938</v>
        <stp/>
        <stp>BDP|1091628966124068992</stp>
        <tr r="H322" s="2"/>
      </tp>
      <tp t="s">
        <v>#N/A Requesting Data...4022522867</v>
        <stp/>
        <stp>BDP|6831821219855470657</stp>
        <tr r="E433" s="2"/>
      </tp>
      <tp t="s">
        <v>#N/A Requesting Data...4084118199</v>
        <stp/>
        <stp>BDP|4784100783843449229</stp>
        <tr r="E510" s="2"/>
      </tp>
      <tp t="s">
        <v>#N/A Requesting Data...4223569008</v>
        <stp/>
        <stp>BDP|1603797979309537419</stp>
        <tr r="G80" s="2"/>
      </tp>
      <tp t="s">
        <v>#N/A Requesting Data...3295439097</v>
        <stp/>
        <stp>BDP|7596008838799792197</stp>
        <tr r="F548" s="2"/>
      </tp>
      <tp t="s">
        <v>#N/A Requesting Data...3225490215</v>
        <stp/>
        <stp>BDP|7371773013284445905</stp>
        <tr r="H531" s="2"/>
        <tr r="H626" s="2"/>
        <tr r="H628" s="2"/>
        <tr r="H630" s="2"/>
        <tr r="H634" s="2"/>
        <tr r="H638" s="2"/>
      </tp>
      <tp t="s">
        <v>#N/A Requesting Data...3946622309</v>
        <stp/>
        <stp>BDP|6385176700192472900</stp>
        <tr r="F302" s="2"/>
      </tp>
      <tp t="s">
        <v>#N/A Requesting Data...3354803746</v>
        <stp/>
        <stp>BDP|9560264065932551333</stp>
        <tr r="G374" s="2"/>
      </tp>
      <tp t="s">
        <v>#N/A Requesting Data...3983404129</v>
        <stp/>
        <stp>BDP|4408451733759216607</stp>
        <tr r="F141" s="2"/>
      </tp>
      <tp t="s">
        <v>#N/A Requesting Data...3311121085</v>
        <stp/>
        <stp>BDP|1881993665604169658</stp>
        <tr r="F147" s="2"/>
      </tp>
      <tp t="s">
        <v>#N/A Requesting Data...3536601181</v>
        <stp/>
        <stp>BDP|1634054723106218923</stp>
        <tr r="H443" s="2"/>
      </tp>
      <tp t="s">
        <v>#N/A Requesting Data...4117637349</v>
        <stp/>
        <stp>BDP|3191713289665031583</stp>
        <tr r="H223" s="2"/>
      </tp>
      <tp t="s">
        <v>#N/A Requesting Data...3527162455</v>
        <stp/>
        <stp>BDP|9489613250370025645</stp>
        <tr r="E587" s="2"/>
      </tp>
      <tp t="s">
        <v>#N/A Requesting Data...4103071439</v>
        <stp/>
        <stp>BDP|7549035951996114877</stp>
        <tr r="E456" s="2"/>
      </tp>
      <tp t="s">
        <v>#N/A Requesting Data...4223168563</v>
        <stp/>
        <stp>BDP|2734973862659217819</stp>
        <tr r="AB12" s="1"/>
      </tp>
      <tp t="s">
        <v>#N/A Requesting Data...3459139583</v>
        <stp/>
        <stp>BDP|9603953300078568471</stp>
        <tr r="E105" s="2"/>
      </tp>
      <tp t="s">
        <v>#N/A Requesting Data...3953540734</v>
        <stp/>
        <stp>BDP|5667113391750611115</stp>
        <tr r="E29" s="2"/>
      </tp>
      <tp t="s">
        <v>#N/A Requesting Data...4136991763</v>
        <stp/>
        <stp>BDP|7408102759257568890</stp>
        <tr r="F207" s="2"/>
      </tp>
      <tp t="s">
        <v>#N/A Requesting Data...3172547239</v>
        <stp/>
        <stp>BDP|6179214712998352176</stp>
        <tr r="H202" s="2"/>
      </tp>
      <tp t="s">
        <v>#N/A Requesting Data...3542916130</v>
        <stp/>
        <stp>BDP|9256761790279287205</stp>
        <tr r="H145" s="2"/>
      </tp>
      <tp t="s">
        <v>#N/A Requesting Data...3332248534</v>
        <stp/>
        <stp>BDP|1533139482846590270</stp>
        <tr r="F38" s="2"/>
      </tp>
      <tp t="s">
        <v>#N/A Requesting Data...3367832943</v>
        <stp/>
        <stp>BDP|7675586158699458245</stp>
        <tr r="H187" s="2"/>
      </tp>
      <tp t="s">
        <v>#N/A Requesting Data...3669789872</v>
        <stp/>
        <stp>BDP|2483034005256663839</stp>
        <tr r="G209" s="2"/>
      </tp>
      <tp t="s">
        <v>#N/A Requesting Data...3454652474</v>
        <stp/>
        <stp>BDP|3835365232189836630</stp>
        <tr r="E184" s="2"/>
      </tp>
      <tp t="s">
        <v>#N/A Requesting Data...3717272059</v>
        <stp/>
        <stp>BDP|4443015754518138570</stp>
        <tr r="H544" s="2"/>
      </tp>
      <tp t="s">
        <v>#N/A Requesting Data...3970404194</v>
        <stp/>
        <stp>BDP|1271803006703312638</stp>
        <tr r="G445" s="2"/>
      </tp>
      <tp t="s">
        <v>#N/A Requesting Data...3202884670</v>
        <stp/>
        <stp>BDP|4130820234704660752</stp>
        <tr r="E594" s="2"/>
      </tp>
      <tp t="s">
        <v>#N/A Requesting Data...3851037335</v>
        <stp/>
        <stp>BDP|9826330859546718516</stp>
        <tr r="F371" s="2"/>
      </tp>
      <tp t="s">
        <v>#N/A Requesting Data...3173719963</v>
        <stp/>
        <stp>BDP|8877817994636133385</stp>
        <tr r="G398" s="2"/>
      </tp>
      <tp t="s">
        <v>#N/A Requesting Data...3301226731</v>
        <stp/>
        <stp>BDP|7650041976038325436</stp>
        <tr r="Z36" s="1"/>
      </tp>
      <tp t="s">
        <v>#N/A Requesting Data...3907750019</v>
        <stp/>
        <stp>BDP|9454573358840798584</stp>
        <tr r="G224" s="2"/>
      </tp>
      <tp t="s">
        <v>#N/A Requesting Data...3844018781</v>
        <stp/>
        <stp>BDP|8230744067006579305</stp>
        <tr r="AA92" s="1"/>
      </tp>
      <tp t="s">
        <v>#N/A Requesting Data...3977166736</v>
        <stp/>
        <stp>BDP|7674149775818583577</stp>
        <tr r="AA23" s="1"/>
      </tp>
      <tp t="s">
        <v>#N/A Requesting Data...3218719080</v>
        <stp/>
        <stp>BDP|4218490497410013599</stp>
        <tr r="G494" s="2"/>
      </tp>
      <tp t="s">
        <v>#N/A Requesting Data...4274011858</v>
        <stp/>
        <stp>BDP|1991836403647991251</stp>
        <tr r="G23" s="2"/>
      </tp>
      <tp t="s">
        <v>#N/A Requesting Data...3967887248</v>
        <stp/>
        <stp>BDP|2115143592903542578</stp>
        <tr r="E391" s="2"/>
      </tp>
      <tp t="s">
        <v>#N/A Requesting Data...4241915449</v>
        <stp/>
        <stp>BDP|8529493553990736422</stp>
        <tr r="H205" s="2"/>
      </tp>
      <tp t="s">
        <v>#N/A Requesting Data...4101035442</v>
        <stp/>
        <stp>BDP|6597724901855546998</stp>
        <tr r="G19" s="2"/>
      </tp>
      <tp t="s">
        <v>#N/A Requesting Data...3293087701</v>
        <stp/>
        <stp>BDP|2067148120704613888</stp>
        <tr r="G321" s="2"/>
      </tp>
      <tp t="s">
        <v>#N/A Requesting Data...3680241932</v>
        <stp/>
        <stp>BDP|7489997702623097052</stp>
        <tr r="E277" s="2"/>
      </tp>
      <tp t="s">
        <v>#N/A Requesting Data...4288097482</v>
        <stp/>
        <stp>BDP|8597299025154166123</stp>
        <tr r="Z45" s="1"/>
      </tp>
      <tp t="s">
        <v>#N/A Requesting Data...4272219938</v>
        <stp/>
        <stp>BDP|8878141113210521501</stp>
        <tr r="E21" s="2"/>
      </tp>
      <tp t="s">
        <v>#N/A Requesting Data...3945886941</v>
        <stp/>
        <stp>BDP|3388807974928886947</stp>
        <tr r="H252" s="2"/>
      </tp>
      <tp t="s">
        <v>#N/A Requesting Data...4075245325</v>
        <stp/>
        <stp>BDP|6844390199133757249</stp>
        <tr r="G129" s="2"/>
      </tp>
      <tp t="s">
        <v>#N/A Requesting Data...3587473216</v>
        <stp/>
        <stp>BDP|5303424733519983608</stp>
        <tr r="F96" s="2"/>
      </tp>
      <tp t="s">
        <v>#N/A Requesting Data...3188506053</v>
        <stp/>
        <stp>BDP|7633385306611644850</stp>
        <tr r="F597" s="2"/>
      </tp>
      <tp t="s">
        <v>#N/A Requesting Data...3268663487</v>
        <stp/>
        <stp>BDP|8457582226751835397</stp>
        <tr r="E293" s="2"/>
      </tp>
      <tp t="s">
        <v>#N/A Requesting Data...3489142852</v>
        <stp/>
        <stp>BDP|7157796048100340981</stp>
        <tr r="F269" s="2"/>
      </tp>
      <tp t="s">
        <v>#N/A Requesting Data...3377987161</v>
        <stp/>
        <stp>BDP|2833210845909028049</stp>
        <tr r="F322" s="2"/>
      </tp>
      <tp t="s">
        <v>#N/A Requesting Data...4257124617</v>
        <stp/>
        <stp>BDP|8797518429334005670</stp>
        <tr r="F566" s="2"/>
      </tp>
      <tp t="s">
        <v>#N/A Requesting Data...3496041822</v>
        <stp/>
        <stp>BDP|7812813871213725670</stp>
        <tr r="G491" s="2"/>
      </tp>
      <tp t="s">
        <v>#N/A Requesting Data...3552136258</v>
        <stp/>
        <stp>BDP|1222655895415967632</stp>
        <tr r="AB84" s="1"/>
      </tp>
      <tp t="s">
        <v>#N/A Requesting Data...3256724507</v>
        <stp/>
        <stp>BDP|1000096253898752146</stp>
        <tr r="G326" s="2"/>
      </tp>
      <tp t="s">
        <v>#N/A Requesting Data...3562274880</v>
        <stp/>
        <stp>BDP|3036762011738741096</stp>
        <tr r="AA20" s="1"/>
      </tp>
      <tp t="s">
        <v>#N/A Requesting Data...3220608682</v>
        <stp/>
        <stp>BDP|9920978333059034731</stp>
        <tr r="F144" s="2"/>
      </tp>
      <tp t="s">
        <v>#N/A Requesting Data...3887749015</v>
        <stp/>
        <stp>BDP|4479314629681725954</stp>
        <tr r="H125" s="2"/>
      </tp>
      <tp t="s">
        <v>#N/A Requesting Data...3192661907</v>
        <stp/>
        <stp>BDP|4555438987365736088</stp>
        <tr r="G257" s="2"/>
      </tp>
      <tp t="s">
        <v>#N/A Requesting Data...3815585321</v>
        <stp/>
        <stp>BDP|9965644709494226681</stp>
        <tr r="G95" s="2"/>
      </tp>
      <tp t="s">
        <v>#N/A Requesting Data...3917026319</v>
        <stp/>
        <stp>BDP|7793947060654547188</stp>
        <tr r="H596" s="2"/>
      </tp>
      <tp t="s">
        <v>#N/A Requesting Data...3309490052</v>
        <stp/>
        <stp>BDP|4818827355021248535</stp>
        <tr r="E526" s="2"/>
      </tp>
      <tp t="s">
        <v>#N/A Requesting Data...3891691539</v>
        <stp/>
        <stp>BDP|8025030675040946211</stp>
        <tr r="F124" s="2"/>
      </tp>
      <tp t="s">
        <v>#N/A Requesting Data...3868750493</v>
        <stp/>
        <stp>BDP|6991952603871509344</stp>
        <tr r="G62" s="2"/>
      </tp>
      <tp t="s">
        <v>#N/A Requesting Data...3996380118</v>
        <stp/>
        <stp>BDP|5770371107793800808</stp>
        <tr r="G333" s="2"/>
      </tp>
      <tp t="s">
        <v>#N/A Requesting Data...3302000713</v>
        <stp/>
        <stp>BDP|5468178016330340892</stp>
        <tr r="H128" s="2"/>
      </tp>
      <tp t="s">
        <v>#N/A Requesting Data...3506500004</v>
        <stp/>
        <stp>BDP|9302134634813336582</stp>
        <tr r="AB50" s="1"/>
      </tp>
      <tp t="s">
        <v>#N/A Requesting Data...3990938085</v>
        <stp/>
        <stp>BDP|4809529696670718541</stp>
        <tr r="F568" s="2"/>
      </tp>
      <tp t="s">
        <v>#N/A Requesting Data...4223447117</v>
        <stp/>
        <stp>BDP|9392937528707208860</stp>
        <tr r="G169" s="2"/>
      </tp>
      <tp t="s">
        <v>#N/A Requesting Data...3717514145</v>
        <stp/>
        <stp>BDP|6908906158685898250</stp>
        <tr r="AA61" s="1"/>
      </tp>
      <tp t="s">
        <v>#N/A Requesting Data...4000592906</v>
        <stp/>
        <stp>BDP|5568960826316980500</stp>
        <tr r="E450" s="2"/>
      </tp>
      <tp t="s">
        <v>#N/A Requesting Data...3691135409</v>
        <stp/>
        <stp>BDP|7863308434438522256</stp>
        <tr r="F567" s="2"/>
      </tp>
      <tp t="s">
        <v>#N/A Requesting Data...3925488056</v>
        <stp/>
        <stp>BDP|2820520177735328826</stp>
        <tr r="E169" s="2"/>
      </tp>
      <tp t="s">
        <v>#N/A Requesting Data...4134024659</v>
        <stp/>
        <stp>BDP|9343115559276790613</stp>
        <tr r="G481" s="2"/>
      </tp>
      <tp t="s">
        <v>#N/A Requesting Data...3665868710</v>
        <stp/>
        <stp>BDP|8023352826797632389</stp>
        <tr r="G602" s="2"/>
      </tp>
      <tp t="s">
        <v>#N/A Requesting Data...3613016649</v>
        <stp/>
        <stp>BDP|1908841601582825698</stp>
        <tr r="F214" s="2"/>
      </tp>
      <tp t="s">
        <v>#N/A Requesting Data...3684774389</v>
        <stp/>
        <stp>BDP|6233968196548965366</stp>
        <tr r="F137" s="2"/>
      </tp>
      <tp t="s">
        <v>#N/A Requesting Data...3179657908</v>
        <stp/>
        <stp>BDP|9549763672902551695</stp>
        <tr r="AA88" s="1"/>
      </tp>
      <tp t="s">
        <v>#N/A Requesting Data...3660505643</v>
        <stp/>
        <stp>BDP|7302947967631794451</stp>
        <tr r="F544" s="2"/>
      </tp>
      <tp t="s">
        <v>#N/A Requesting Data...4175324708</v>
        <stp/>
        <stp>BDP|7551933540805455201</stp>
        <tr r="G238" s="2"/>
      </tp>
      <tp t="s">
        <v>#N/A Requesting Data...3387567232</v>
        <stp/>
        <stp>BDP|5202137296243579308</stp>
        <tr r="F592" s="2"/>
      </tp>
      <tp t="s">
        <v>#N/A Requesting Data...4148713339</v>
        <stp/>
        <stp>BDP|5136935310043721379</stp>
        <tr r="Z22" s="1"/>
      </tp>
      <tp t="s">
        <v>#N/A Requesting Data...3954433048</v>
        <stp/>
        <stp>BDP|5093702991777273116</stp>
        <tr r="H622" s="2"/>
      </tp>
      <tp t="s">
        <v>#N/A Requesting Data...3211668288</v>
        <stp/>
        <stp>BDP|6013599341232822833</stp>
        <tr r="Z51" s="1"/>
      </tp>
      <tp t="s">
        <v>#N/A Requesting Data...3805247096</v>
        <stp/>
        <stp>BDP|2304668582068060940</stp>
        <tr r="G147" s="2"/>
      </tp>
      <tp t="s">
        <v>#N/A Requesting Data...4208400469</v>
        <stp/>
        <stp>BDP|6476601029758913775</stp>
        <tr r="H201" s="2"/>
      </tp>
      <tp t="s">
        <v>#N/A Requesting Data...3496643049</v>
        <stp/>
        <stp>BDP|7659452585400006656</stp>
        <tr r="E238" s="2"/>
      </tp>
      <tp t="s">
        <v>#N/A Requesting Data...4147008216</v>
        <stp/>
        <stp>BDP|8964499088620990926</stp>
        <tr r="E576" s="2"/>
      </tp>
      <tp t="s">
        <v>#N/A Requesting Data...3189361541</v>
        <stp/>
        <stp>BDP|2143340179182503999</stp>
        <tr r="F67" s="2"/>
      </tp>
      <tp t="s">
        <v>#N/A Requesting Data...3320699835</v>
        <stp/>
        <stp>BDP|4528564262959591349</stp>
        <tr r="AA15" s="1"/>
      </tp>
      <tp t="s">
        <v>#N/A Requesting Data...4223223739</v>
        <stp/>
        <stp>BDP|6072641296945277106</stp>
        <tr r="H189" s="2"/>
      </tp>
      <tp t="s">
        <v>#N/A Requesting Data...3496718490</v>
        <stp/>
        <stp>BDP|1761026902855777914</stp>
        <tr r="G118" s="2"/>
      </tp>
      <tp t="s">
        <v>#N/A Requesting Data...3665790856</v>
        <stp/>
        <stp>BDP|8524730967943671760</stp>
        <tr r="E328" s="2"/>
      </tp>
      <tp t="s">
        <v>#N/A Requesting Data...3540036684</v>
        <stp/>
        <stp>BDP|8714667574032224665</stp>
        <tr r="H432" s="2"/>
      </tp>
      <tp t="s">
        <v>#N/A Requesting Data...3921053922</v>
        <stp/>
        <stp>BDP|1119337582400184709</stp>
        <tr r="Z65" s="1"/>
      </tp>
      <tp t="s">
        <v>#N/A Requesting Data...3973810971</v>
        <stp/>
        <stp>BDP|4120824111855756549</stp>
        <tr r="H158" s="2"/>
      </tp>
      <tp t="s">
        <v>#N/A Requesting Data...4228651951</v>
        <stp/>
        <stp>BDP|8329947419808762589</stp>
        <tr r="E519" s="2"/>
      </tp>
      <tp t="s">
        <v>#N/A Requesting Data...3621492333</v>
        <stp/>
        <stp>BDP|5321955894321666955</stp>
        <tr r="F154" s="2"/>
      </tp>
      <tp t="s">
        <v>#N/A Requesting Data...4232493172</v>
        <stp/>
        <stp>BDP|9480057673110040340</stp>
        <tr r="E499" s="2"/>
      </tp>
      <tp t="s">
        <v>#N/A Requesting Data...3298889592</v>
        <stp/>
        <stp>BDP|5703664274781686859</stp>
        <tr r="E250" s="2"/>
      </tp>
      <tp t="s">
        <v>#N/A Requesting Data...4128664656</v>
        <stp/>
        <stp>BDP|9772767001345160670</stp>
        <tr r="E469" s="2"/>
      </tp>
      <tp t="s">
        <v>#N/A Requesting Data...3300201116</v>
        <stp/>
        <stp>BDP|5965963388238911182</stp>
        <tr r="F586" s="2"/>
      </tp>
      <tp t="s">
        <v>#N/A Requesting Data...3316418388</v>
        <stp/>
        <stp>BDP|8716602957711177763</stp>
        <tr r="E558" s="2"/>
      </tp>
      <tp t="s">
        <v>#N/A Requesting Data...3549325658</v>
        <stp/>
        <stp>BDP|9004250257646273572</stp>
        <tr r="G303" s="2"/>
      </tp>
      <tp t="s">
        <v>#N/A Requesting Data...4236241999</v>
        <stp/>
        <stp>BDP|9635066350686768707</stp>
        <tr r="E416" s="2"/>
      </tp>
      <tp t="s">
        <v>#N/A Requesting Data...3475267286</v>
        <stp/>
        <stp>BDP|5728375717608753272</stp>
        <tr r="F51" s="2"/>
      </tp>
      <tp t="s">
        <v>#N/A Requesting Data...4271932096</v>
        <stp/>
        <stp>BDP|1790463874318084718</stp>
        <tr r="F270" s="2"/>
      </tp>
      <tp t="s">
        <v>#N/A Requesting Data...3805183054</v>
        <stp/>
        <stp>BDP|8022901483123759708</stp>
        <tr r="E135" s="2"/>
      </tp>
      <tp t="s">
        <v>#N/A Requesting Data...3264516310</v>
        <stp/>
        <stp>BDP|9121537230117338559</stp>
        <tr r="E405" s="2"/>
      </tp>
      <tp t="s">
        <v>#N/A Requesting Data...3606837504</v>
        <stp/>
        <stp>BDP|3286682944715896925</stp>
        <tr r="E251" s="2"/>
      </tp>
      <tp t="s">
        <v>#N/A Requesting Data...3841754532</v>
        <stp/>
        <stp>BDP|2113875160465761456</stp>
        <tr r="F289" s="2"/>
      </tp>
      <tp t="s">
        <v>#N/A Requesting Data...3626961088</v>
        <stp/>
        <stp>BDP|2166997033456971362</stp>
        <tr r="F480" s="2"/>
      </tp>
      <tp t="s">
        <v>#N/A Requesting Data...3720019178</v>
        <stp/>
        <stp>BDP|6462271449678929570</stp>
        <tr r="F510" s="2"/>
      </tp>
      <tp t="s">
        <v>#N/A Requesting Data...3343958311</v>
        <stp/>
        <stp>BDP|3025504094143783178</stp>
        <tr r="F410" s="2"/>
      </tp>
      <tp t="s">
        <v>#N/A Requesting Data...3861328110</v>
        <stp/>
        <stp>BDP|2850105403076759883</stp>
        <tr r="F528" s="2"/>
        <tr r="F530" s="2"/>
        <tr r="F542" s="2"/>
        <tr r="F625" s="2"/>
        <tr r="F627" s="2"/>
        <tr r="F629" s="2"/>
        <tr r="F631" s="2"/>
        <tr r="F633" s="2"/>
        <tr r="F635" s="2"/>
        <tr r="F637" s="2"/>
      </tp>
      <tp t="s">
        <v>#N/A Requesting Data...3824691207</v>
        <stp/>
        <stp>BDP|5121049318078863105</stp>
        <tr r="AA86" s="1"/>
      </tp>
      <tp t="s">
        <v>#N/A Requesting Data...4120154502</v>
        <stp/>
        <stp>BDP|1107815630824341361</stp>
        <tr r="F375" s="2"/>
      </tp>
      <tp t="s">
        <v>#N/A Requesting Data...4231035438</v>
        <stp/>
        <stp>BDP|8617745461942347654</stp>
        <tr r="G285" s="2"/>
      </tp>
      <tp t="s">
        <v>#N/A Requesting Data...4129631994</v>
        <stp/>
        <stp>BDP|5351079250089324422</stp>
        <tr r="F452" s="2"/>
      </tp>
      <tp t="s">
        <v>#N/A Requesting Data...3512239267</v>
        <stp/>
        <stp>BDP|9366327834583077702</stp>
        <tr r="G199" s="2"/>
      </tp>
      <tp t="s">
        <v>#N/A Requesting Data...3311732446</v>
        <stp/>
        <stp>BDP|9125359602681192621</stp>
        <tr r="G485" s="2"/>
      </tp>
      <tp t="s">
        <v>#N/A Requesting Data...4020905667</v>
        <stp/>
        <stp>BDP|3794807170541789054</stp>
        <tr r="F134" s="2"/>
      </tp>
      <tp t="s">
        <v>#N/A Requesting Data...3615144755</v>
        <stp/>
        <stp>BDP|9933586232452816311</stp>
        <tr r="G213" s="2"/>
      </tp>
      <tp t="s">
        <v>#N/A Requesting Data...3388918756</v>
        <stp/>
        <stp>BDP|5967653686561117412</stp>
        <tr r="F184" s="2"/>
      </tp>
      <tp t="s">
        <v>#N/A Requesting Data...3882974817</v>
        <stp/>
        <stp>BDP|2034351469000523933</stp>
        <tr r="G123" s="2"/>
      </tp>
      <tp t="s">
        <v>#N/A Requesting Data...4020592245</v>
        <stp/>
        <stp>BDP|5879270616318496061</stp>
        <tr r="G312" s="2"/>
      </tp>
      <tp t="s">
        <v>#N/A Requesting Data...3961348207</v>
        <stp/>
        <stp>BDP|8686694606605772552</stp>
        <tr r="F557" s="2"/>
      </tp>
      <tp t="s">
        <v>#N/A Requesting Data...3823493036</v>
        <stp/>
        <stp>BDP|1636562660799963526</stp>
        <tr r="E131" s="2"/>
      </tp>
      <tp t="s">
        <v>#N/A Requesting Data...3954646997</v>
        <stp/>
        <stp>BDP|8221528282353828829</stp>
        <tr r="AB100" s="1"/>
      </tp>
      <tp t="s">
        <v>#N/A Requesting Data...3446095145</v>
        <stp/>
        <stp>BDP|2675707128879755004</stp>
        <tr r="F378" s="2"/>
      </tp>
      <tp t="s">
        <v>#N/A Requesting Data...3961541420</v>
        <stp/>
        <stp>BDP|9464992533754189963</stp>
        <tr r="H619" s="2"/>
      </tp>
      <tp t="s">
        <v>#N/A Requesting Data...3818971305</v>
        <stp/>
        <stp>BDP|2719943554224716491</stp>
        <tr r="AB9" s="1"/>
      </tp>
      <tp t="s">
        <v>#N/A Requesting Data...3280781207</v>
        <stp/>
        <stp>BDP|4259739123846874936</stp>
        <tr r="E442" s="2"/>
      </tp>
      <tp t="s">
        <v>#N/A Requesting Data...3794431514</v>
        <stp/>
        <stp>BDP|9965364094458432563</stp>
        <tr r="AA46" s="1"/>
      </tp>
      <tp t="s">
        <v>#N/A Requesting Data...3279449001</v>
        <stp/>
        <stp>BDP|8970558466201520414</stp>
        <tr r="F172" s="2"/>
      </tp>
      <tp t="s">
        <v>#N/A Requesting Data...3274159379</v>
        <stp/>
        <stp>BDP|4057058975668653582</stp>
        <tr r="E572" s="2"/>
      </tp>
      <tp t="s">
        <v>#N/A Requesting Data...3746229628</v>
        <stp/>
        <stp>BDP|4443690211879458466</stp>
        <tr r="H295" s="2"/>
      </tp>
      <tp t="s">
        <v>#N/A Requesting Data...3703456492</v>
        <stp/>
        <stp>BDP|2897410931032507938</stp>
        <tr r="F540" s="2"/>
      </tp>
      <tp t="s">
        <v>#N/A Requesting Data...4291091059</v>
        <stp/>
        <stp>BDP|4333756278709527353</stp>
        <tr r="G37" s="2"/>
      </tp>
      <tp t="s">
        <v>#N/A Requesting Data...3815608556</v>
        <stp/>
        <stp>BDP|6635063927613026997</stp>
        <tr r="Z54" s="1"/>
      </tp>
      <tp t="s">
        <v>#N/A Requesting Data...3929294456</v>
        <stp/>
        <stp>BDP|9879103415694647354</stp>
        <tr r="F609" s="2"/>
      </tp>
      <tp t="s">
        <v>#N/A Requesting Data...4084054275</v>
        <stp/>
        <stp>BDP|5281300701198592098</stp>
        <tr r="G121" s="2"/>
      </tp>
      <tp t="s">
        <v>#N/A Requesting Data...3419636618</v>
        <stp/>
        <stp>BDP|5905006907533452855</stp>
        <tr r="F558" s="2"/>
      </tp>
      <tp t="s">
        <v>#N/A Requesting Data...4068794167</v>
        <stp/>
        <stp>BDP|7014679511746306895</stp>
        <tr r="E561" s="2"/>
      </tp>
      <tp t="s">
        <v>#N/A Requesting Data...3966515309</v>
        <stp/>
        <stp>BDP|4850698172849705286</stp>
        <tr r="F575" s="2"/>
      </tp>
      <tp t="s">
        <v>#N/A Requesting Data...3451262212</v>
        <stp/>
        <stp>BDP|1782360738978279767</stp>
        <tr r="F495" s="2"/>
      </tp>
      <tp t="s">
        <v>#N/A Requesting Data...3431245545</v>
        <stp/>
        <stp>BDP|5437018795657542573</stp>
        <tr r="G456" s="2"/>
      </tp>
      <tp t="s">
        <v>#N/A Requesting Data...3581165320</v>
        <stp/>
        <stp>BDP|7056215242849633671</stp>
        <tr r="F576" s="2"/>
      </tp>
      <tp t="s">
        <v>#N/A Requesting Data...4047008070</v>
        <stp/>
        <stp>BDP|2321949454875582544</stp>
        <tr r="F37" s="2"/>
      </tp>
      <tp t="s">
        <v>#N/A Requesting Data...3580628043</v>
        <stp/>
        <stp>BDP|6752944613596309615</stp>
        <tr r="G89" s="2"/>
      </tp>
      <tp t="s">
        <v>#N/A Requesting Data...4168121591</v>
        <stp/>
        <stp>BDP|7300778439635693897</stp>
        <tr r="F4" s="2"/>
      </tp>
      <tp t="s">
        <v>#N/A Requesting Data...4013501965</v>
        <stp/>
        <stp>BDP|5201283089154762566</stp>
        <tr r="AA44" s="1"/>
      </tp>
      <tp t="s">
        <v>#N/A Requesting Data...3603802484</v>
        <stp/>
        <stp>BDP|8135962859203530997</stp>
        <tr r="G369" s="2"/>
      </tp>
      <tp t="s">
        <v>#N/A Requesting Data...3943456448</v>
        <stp/>
        <stp>BDP|8069049850097659416</stp>
        <tr r="F292" s="2"/>
      </tp>
      <tp t="s">
        <v>#N/A Requesting Data...3322572393</v>
        <stp/>
        <stp>BDP|8196401223456332623</stp>
        <tr r="F346" s="2"/>
      </tp>
      <tp t="s">
        <v>#N/A Requesting Data...3342130633</v>
        <stp/>
        <stp>BDP|8451362432245162322</stp>
        <tr r="H53" s="2"/>
      </tp>
      <tp t="s">
        <v>#N/A Requesting Data...3358121351</v>
        <stp/>
        <stp>BDP|9947099427580328543</stp>
        <tr r="H612" s="2"/>
      </tp>
      <tp t="s">
        <v>#N/A Requesting Data...3345338785</v>
        <stp/>
        <stp>BDP|8239771800864771525</stp>
        <tr r="H426" s="2"/>
      </tp>
      <tp t="s">
        <v>#N/A Requesting Data...3541489029</v>
        <stp/>
        <stp>BDP|7694675246189208251</stp>
        <tr r="E337" s="2"/>
      </tp>
      <tp t="s">
        <v>#N/A Requesting Data...4044275621</v>
        <stp/>
        <stp>BDP|3148758358166464987</stp>
        <tr r="AB29" s="1"/>
      </tp>
      <tp t="s">
        <v>#N/A Requesting Data...4212251513</v>
        <stp/>
        <stp>BDP|6210271492962264147</stp>
        <tr r="E575" s="2"/>
      </tp>
      <tp t="s">
        <v>#N/A Requesting Data...4119432127</v>
        <stp/>
        <stp>BDP|1195651717621269904</stp>
        <tr r="E577" s="2"/>
      </tp>
      <tp t="s">
        <v>#N/A Requesting Data...4105926246</v>
        <stp/>
        <stp>BDP|1143245287932094730</stp>
        <tr r="G517" s="2"/>
      </tp>
      <tp t="s">
        <v>#N/A Requesting Data...3723024390</v>
        <stp/>
        <stp>BDP|6292569210569645534</stp>
        <tr r="H251" s="2"/>
      </tp>
      <tp t="s">
        <v>#N/A Requesting Data...3724791409</v>
        <stp/>
        <stp>BDP|1354717184573297359</stp>
        <tr r="G289" s="2"/>
      </tp>
      <tp t="s">
        <v>#N/A Requesting Data...3734753293</v>
        <stp/>
        <stp>BDP|6684865077107287042</stp>
        <tr r="AA106" s="1"/>
      </tp>
      <tp t="s">
        <v>#N/A Requesting Data...4240361975</v>
        <stp/>
        <stp>BDP|6529843868202913464</stp>
        <tr r="AA40" s="1"/>
      </tp>
      <tp t="s">
        <v>#N/A Requesting Data...3312156977</v>
        <stp/>
        <stp>BDP|9639656912872416227</stp>
        <tr r="E600" s="2"/>
      </tp>
      <tp t="s">
        <v>#N/A Requesting Data...3925389749</v>
        <stp/>
        <stp>BDP|6048809896481749862</stp>
        <tr r="G14" s="2"/>
      </tp>
      <tp t="s">
        <v>#N/A Requesting Data...3647679896</v>
        <stp/>
        <stp>BDP|6891340908103182821</stp>
        <tr r="F354" s="2"/>
      </tp>
      <tp t="s">
        <v>#N/A Requesting Data...3681087395</v>
        <stp/>
        <stp>BDP|6224831351575558021</stp>
        <tr r="G254" s="2"/>
      </tp>
      <tp t="s">
        <v>#N/A Requesting Data...3366022217</v>
        <stp/>
        <stp>BDP|9767320631464701346</stp>
        <tr r="G145" s="2"/>
      </tp>
      <tp t="s">
        <v>#N/A Requesting Data...3917238342</v>
        <stp/>
        <stp>BDP|3965728278608206554</stp>
        <tr r="H535" s="2"/>
      </tp>
      <tp t="s">
        <v>#N/A Requesting Data...3439063522</v>
        <stp/>
        <stp>BDP|2845044228976801886</stp>
        <tr r="H400" s="2"/>
      </tp>
      <tp t="s">
        <v>#N/A Requesting Data...4094801944</v>
        <stp/>
        <stp>BDP|6716948220133619016</stp>
        <tr r="F241" s="2"/>
      </tp>
      <tp t="s">
        <v>#N/A Requesting Data...4130035564</v>
        <stp/>
        <stp>BDP|7329110316349479046</stp>
        <tr r="G315" s="2"/>
      </tp>
      <tp t="s">
        <v>#N/A Requesting Data...4026310294</v>
        <stp/>
        <stp>BDP|1143504124601767963</stp>
        <tr r="F76" s="2"/>
      </tp>
      <tp t="s">
        <v>#N/A Requesting Data...3432266353</v>
        <stp/>
        <stp>BDP|7706054596230377033</stp>
        <tr r="E466" s="2"/>
      </tp>
      <tp t="s">
        <v>#N/A Requesting Data...3398951400</v>
        <stp/>
        <stp>BDP|5349096136129859104</stp>
        <tr r="H421" s="2"/>
      </tp>
      <tp t="s">
        <v>#N/A Requesting Data...4272867861</v>
        <stp/>
        <stp>BDP|5703544486230981696</stp>
        <tr r="E596" s="2"/>
      </tp>
      <tp t="s">
        <v>#N/A Requesting Data...4058039607</v>
        <stp/>
        <stp>BDP|7404892552910342494</stp>
        <tr r="H235" s="2"/>
      </tp>
      <tp t="s">
        <v>#N/A Requesting Data...3416519493</v>
        <stp/>
        <stp>BDP|3937163091156854339</stp>
        <tr r="G184" s="2"/>
      </tp>
      <tp t="s">
        <v>#N/A Requesting Data...3835695410</v>
        <stp/>
        <stp>BDP|4148469884265269344</stp>
        <tr r="E60" s="2"/>
      </tp>
      <tp t="s">
        <v>#N/A Requesting Data...3441468500</v>
        <stp/>
        <stp>BDP|3772432571739655768</stp>
        <tr r="G244" s="2"/>
      </tp>
      <tp t="s">
        <v>#N/A Requesting Data...4076796247</v>
        <stp/>
        <stp>BDP|7145500292010162570</stp>
        <tr r="AB35" s="1"/>
      </tp>
      <tp t="s">
        <v>#N/A Requesting Data...3638301688</v>
        <stp/>
        <stp>BDP|8667047646456528443</stp>
        <tr r="E444" s="2"/>
      </tp>
      <tp t="s">
        <v>#N/A Requesting Data...4044210061</v>
        <stp/>
        <stp>BDP|9007542973576069326</stp>
        <tr r="G98" s="2"/>
      </tp>
      <tp t="s">
        <v>#N/A Requesting Data...3421883565</v>
        <stp/>
        <stp>BDP|5774949930776389756</stp>
        <tr r="E192" s="2"/>
      </tp>
      <tp t="s">
        <v>#N/A Requesting Data...3584352199</v>
        <stp/>
        <stp>BDP|5406726887933080741</stp>
        <tr r="F132" s="2"/>
      </tp>
      <tp t="s">
        <v>#N/A Requesting Data...3914890349</v>
        <stp/>
        <stp>BDP|8799777053501135483</stp>
        <tr r="G90" s="2"/>
      </tp>
      <tp t="s">
        <v>#N/A Requesting Data...4172179749</v>
        <stp/>
        <stp>BDP|4249769968022185878</stp>
        <tr r="H152" s="2"/>
      </tp>
      <tp t="s">
        <v>#N/A Requesting Data...3427993506</v>
        <stp/>
        <stp>BDP|7619256580916966405</stp>
        <tr r="E53" s="2"/>
      </tp>
      <tp t="s">
        <v>#N/A Requesting Data...3500878822</v>
        <stp/>
        <stp>BDP|9770472639674538561</stp>
        <tr r="H23" s="2"/>
      </tp>
      <tp t="s">
        <v>#N/A Requesting Data...3710003151</v>
        <stp/>
        <stp>BDP|9598189912247375165</stp>
        <tr r="E268" s="2"/>
      </tp>
      <tp t="s">
        <v>#N/A Requesting Data...3704065531</v>
        <stp/>
        <stp>BDP|3619351551548078286</stp>
        <tr r="H236" s="2"/>
      </tp>
      <tp t="s">
        <v>#N/A Requesting Data...3589147701</v>
        <stp/>
        <stp>BDP|8517633761535964247</stp>
        <tr r="G502" s="2"/>
      </tp>
      <tp t="s">
        <v>#N/A Requesting Data...3661538584</v>
        <stp/>
        <stp>BDP|7510865514625822448</stp>
        <tr r="AA77" s="1"/>
      </tp>
      <tp t="s">
        <v>#N/A Requesting Data...3902022662</v>
        <stp/>
        <stp>BDP|7458798582243016442</stp>
        <tr r="AB55" s="1"/>
      </tp>
      <tp t="s">
        <v>#N/A Requesting Data...4225496222</v>
        <stp/>
        <stp>BDP|4570069765049947445</stp>
        <tr r="F146" s="2"/>
      </tp>
      <tp t="s">
        <v>#N/A Requesting Data...3408220253</v>
        <stp/>
        <stp>BDP|9544807515409868631</stp>
        <tr r="AA37" s="1"/>
      </tp>
      <tp t="s">
        <v>#N/A Requesting Data...3590254836</v>
        <stp/>
        <stp>BDP|6853822095639412105</stp>
        <tr r="G140" s="2"/>
      </tp>
      <tp t="s">
        <v>#N/A Requesting Data...4041204568</v>
        <stp/>
        <stp>BDP|5666711188851225451</stp>
        <tr r="E79" s="2"/>
      </tp>
      <tp t="s">
        <v>#N/A Requesting Data...3917986534</v>
        <stp/>
        <stp>BDP|4564670256579845144</stp>
        <tr r="E579" s="2"/>
      </tp>
      <tp t="s">
        <v>#N/A Requesting Data...3991789634</v>
        <stp/>
        <stp>BDP|7033973377101945716</stp>
        <tr r="E126" s="2"/>
      </tp>
      <tp t="s">
        <v>#N/A Requesting Data...4270351697</v>
        <stp/>
        <stp>BDP|1752151964911897867</stp>
        <tr r="G426" s="2"/>
      </tp>
      <tp t="s">
        <v>#N/A Requesting Data...3536604597</v>
        <stp/>
        <stp>BDP|5743053572025073899</stp>
        <tr r="H381" s="2"/>
      </tp>
      <tp t="s">
        <v>#N/A Requesting Data...3953028099</v>
        <stp/>
        <stp>BDP|1111991289818028783</stp>
        <tr r="AB32" s="1"/>
      </tp>
      <tp t="s">
        <v>#N/A Requesting Data...3938079162</v>
        <stp/>
        <stp>BDP|6878439898560989438</stp>
        <tr r="H378" s="2"/>
      </tp>
      <tp t="s">
        <v>#N/A Requesting Data...3562663374</v>
        <stp/>
        <stp>BDP|9915366877896411454</stp>
        <tr r="E316" s="2"/>
      </tp>
      <tp t="s">
        <v>#N/A Requesting Data...3456967543</v>
        <stp/>
        <stp>BDP|7695578487236804302</stp>
        <tr r="F187" s="2"/>
      </tp>
      <tp t="s">
        <v>#N/A Requesting Data...3398778957</v>
        <stp/>
        <stp>BDP|9075291837521549657</stp>
        <tr r="E176" s="2"/>
      </tp>
      <tp t="s">
        <v>#N/A Requesting Data...3496056694</v>
        <stp/>
        <stp>BDP|2357886048810985143</stp>
        <tr r="F298" s="2"/>
      </tp>
      <tp t="s">
        <v>#N/A Requesting Data...4044213849</v>
        <stp/>
        <stp>BDP|6440485373633508941</stp>
        <tr r="F240" s="2"/>
      </tp>
      <tp t="s">
        <v>#N/A Requesting Data...3715703013</v>
        <stp/>
        <stp>BDP|8216886895453083502</stp>
        <tr r="H620" s="2"/>
      </tp>
      <tp t="s">
        <v>#N/A Requesting Data...4000716873</v>
        <stp/>
        <stp>BDP|8369765040867866328</stp>
        <tr r="E389" s="2"/>
      </tp>
      <tp t="s">
        <v>#N/A Requesting Data...3392882804</v>
        <stp/>
        <stp>BDP|4450255516120923817</stp>
        <tr r="H171" s="2"/>
      </tp>
      <tp t="s">
        <v>#N/A Requesting Data...3550816196</v>
        <stp/>
        <stp>BDP|9896027635411391435</stp>
        <tr r="G440" s="2"/>
      </tp>
      <tp t="s">
        <v>#N/A Requesting Data...3636433779</v>
        <stp/>
        <stp>BDP|8890564555484570321</stp>
        <tr r="H33" s="2"/>
      </tp>
      <tp t="s">
        <v>#N/A Requesting Data...4236804425</v>
        <stp/>
        <stp>BDP|5062568034915843964</stp>
        <tr r="H462" s="2"/>
      </tp>
      <tp t="s">
        <v>#N/A Requesting Data...4080629075</v>
        <stp/>
        <stp>BDP|2839925927666101006</stp>
        <tr r="H39" s="2"/>
      </tp>
      <tp t="s">
        <v>#N/A Requesting Data...4223279381</v>
        <stp/>
        <stp>BDP|6457823603079863809</stp>
        <tr r="H40" s="2"/>
      </tp>
      <tp t="s">
        <v>#N/A Requesting Data...3656426672</v>
        <stp/>
        <stp>BDP|1992619280995340567</stp>
        <tr r="H246" s="2"/>
      </tp>
      <tp t="s">
        <v>#N/A Requesting Data...3811281710</v>
        <stp/>
        <stp>BDP|2155433963659734648</stp>
        <tr r="E521" s="2"/>
      </tp>
      <tp t="s">
        <v>#N/A Requesting Data...4294525776</v>
        <stp/>
        <stp>BDP|8366673657931075517</stp>
        <tr r="G64" s="2"/>
      </tp>
      <tp t="s">
        <v>#N/A Requesting Data...4146944317</v>
        <stp/>
        <stp>BDP|3178671663094597821</stp>
        <tr r="F197" s="2"/>
      </tp>
      <tp t="s">
        <v>#N/A Requesting Data...3811166860</v>
        <stp/>
        <stp>BDP|1109284165378776293</stp>
        <tr r="E378" s="2"/>
      </tp>
      <tp t="s">
        <v>#N/A Requesting Data...3528092222</v>
        <stp/>
        <stp>BDP|4373655520377446800</stp>
        <tr r="F413" s="2"/>
      </tp>
      <tp t="s">
        <v>#N/A Requesting Data...3517575117</v>
        <stp/>
        <stp>BDP|1737979456962470019</stp>
        <tr r="H339" s="2"/>
      </tp>
      <tp t="s">
        <v>#N/A Requesting Data...4126157624</v>
        <stp/>
        <stp>BDP|8576803163728524103</stp>
        <tr r="H388" s="2"/>
      </tp>
      <tp t="s">
        <v>#N/A Requesting Data...3436930887</v>
        <stp/>
        <stp>BDP|6862549501825660985</stp>
        <tr r="AB7" s="1"/>
      </tp>
      <tp t="s">
        <v>#N/A Requesting Data...3968539015</v>
        <stp/>
        <stp>BDP|6640560164092384874</stp>
        <tr r="H552" s="2"/>
      </tp>
      <tp t="s">
        <v>#N/A Requesting Data...3886109120</v>
        <stp/>
        <stp>BDP|5427491544078085290</stp>
        <tr r="F138" s="2"/>
      </tp>
      <tp t="s">
        <v>#N/A Requesting Data...3508217976</v>
        <stp/>
        <stp>BDP|1840201230636184996</stp>
        <tr r="H178" s="2"/>
      </tp>
      <tp t="s">
        <v>#N/A Requesting Data...4149280296</v>
        <stp/>
        <stp>BDP|1716635402358662005</stp>
        <tr r="G307" s="2"/>
      </tp>
      <tp t="s">
        <v>#N/A Requesting Data...4063875111</v>
        <stp/>
        <stp>BDP|4550164465718745416</stp>
        <tr r="F136" s="2"/>
      </tp>
      <tp t="s">
        <v>#N/A Requesting Data...4121803784</v>
        <stp/>
        <stp>BDP|2505975675871121276</stp>
        <tr r="G186" s="2"/>
      </tp>
      <tp t="s">
        <v>#N/A Requesting Data...4187677917</v>
        <stp/>
        <stp>BDP|5313773462292283957</stp>
        <tr r="E429" s="2"/>
      </tp>
      <tp t="s">
        <v>#N/A Requesting Data...4041098109</v>
        <stp/>
        <stp>BDP|4338173923671103972</stp>
        <tr r="F47" s="2"/>
      </tp>
      <tp t="s">
        <v>#N/A Requesting Data...3512308055</v>
        <stp/>
        <stp>BDP|9888986050268984280</stp>
        <tr r="F503" s="2"/>
      </tp>
      <tp t="s">
        <v>#N/A Requesting Data...4024923570</v>
        <stp/>
        <stp>BDP|5837270332913265895</stp>
        <tr r="F499" s="2"/>
      </tp>
      <tp t="s">
        <v>#N/A Requesting Data...3644758908</v>
        <stp/>
        <stp>BDP|6467547646709087106</stp>
        <tr r="E294" s="2"/>
      </tp>
      <tp t="s">
        <v>#N/A Requesting Data...4227156588</v>
        <stp/>
        <stp>BDP|3942649529110157834</stp>
        <tr r="E152" s="2"/>
      </tp>
      <tp t="s">
        <v>#N/A Requesting Data...4168359614</v>
        <stp/>
        <stp>BDP|6459031173027479962</stp>
        <tr r="H52" s="2"/>
      </tp>
      <tp t="s">
        <v>#N/A Requesting Data...3961851496</v>
        <stp/>
        <stp>BDP|5767668297463957687</stp>
        <tr r="F479" s="2"/>
      </tp>
      <tp t="s">
        <v>#N/A Requesting Data...3483715648</v>
        <stp/>
        <stp>BDP|8196816539078963479</stp>
        <tr r="G66" s="2"/>
      </tp>
      <tp t="s">
        <v>#N/A Requesting Data...3557717241</v>
        <stp/>
        <stp>BDP|8366063832113713775</stp>
        <tr r="E174" s="2"/>
      </tp>
      <tp t="s">
        <v>#N/A Requesting Data...4258652354</v>
        <stp/>
        <stp>BDP|2799054287506194332</stp>
        <tr r="G253" s="2"/>
      </tp>
      <tp t="s">
        <v>#N/A Requesting Data...4242830393</v>
        <stp/>
        <stp>BDP|4214022116558131200</stp>
        <tr r="F192" s="2"/>
      </tp>
      <tp t="s">
        <v>#N/A Requesting Data...4142821866</v>
        <stp/>
        <stp>BDP|2965227001566542984</stp>
        <tr r="H146" s="2"/>
      </tp>
      <tp t="s">
        <v>#N/A Requesting Data...4264861222</v>
        <stp/>
        <stp>BDP|2099166510078474561</stp>
        <tr r="E49" s="2"/>
      </tp>
      <tp t="s">
        <v>#N/A Requesting Data...3791193344</v>
        <stp/>
        <stp>BDP|2103741493433587077</stp>
        <tr r="F608" s="2"/>
      </tp>
      <tp t="s">
        <v>#N/A Requesting Data...3881636149</v>
        <stp/>
        <stp>BDP|9653743094958632042</stp>
        <tr r="E339" s="2"/>
      </tp>
      <tp t="s">
        <v>#N/A Requesting Data...4287333000</v>
        <stp/>
        <stp>BDP|6658142167916695874</stp>
        <tr r="E138" s="2"/>
      </tp>
      <tp t="s">
        <v>#N/A Requesting Data...3633638656</v>
        <stp/>
        <stp>BDP|2450806343107430673</stp>
        <tr r="H166" s="2"/>
      </tp>
      <tp t="s">
        <v>#N/A Requesting Data...3655641924</v>
        <stp/>
        <stp>BDP|5037615810279763425</stp>
        <tr r="E368" s="2"/>
      </tp>
      <tp t="s">
        <v>#N/A Requesting Data...3481597538</v>
        <stp/>
        <stp>BDP|7694605466309050153</stp>
        <tr r="E145" s="2"/>
      </tp>
      <tp t="s">
        <v>#N/A Requesting Data...3745557142</v>
        <stp/>
        <stp>BDP|3052623344639363709</stp>
        <tr r="Z88" s="1"/>
      </tp>
      <tp t="s">
        <v>#N/A Requesting Data...3786384896</v>
        <stp/>
        <stp>BDP|9561864910318806019</stp>
        <tr r="H587" s="2"/>
      </tp>
      <tp t="s">
        <v>#N/A Requesting Data...3422437474</v>
        <stp/>
        <stp>BDP|1297050542065756887</stp>
        <tr r="F332" s="2"/>
      </tp>
      <tp t="s">
        <v>#N/A Requesting Data...3623841098</v>
        <stp/>
        <stp>BDP|8260444476785911639</stp>
        <tr r="E383" s="2"/>
      </tp>
      <tp t="s">
        <v>#N/A Requesting Data...4184267984</v>
        <stp/>
        <stp>BDP|2602952238331314120</stp>
        <tr r="E197" s="2"/>
      </tp>
      <tp t="s">
        <v>#N/A Requesting Data...3532447477</v>
        <stp/>
        <stp>BDP|6368380724616152941</stp>
        <tr r="H176" s="2"/>
      </tp>
      <tp t="s">
        <v>#N/A Requesting Data...4064850308</v>
        <stp/>
        <stp>BDP|5979438042138042532</stp>
        <tr r="G527" s="2"/>
      </tp>
      <tp t="s">
        <v>#N/A Requesting Data...3737199138</v>
        <stp/>
        <stp>BDP|1439436639786011858</stp>
        <tr r="AB81" s="1"/>
      </tp>
      <tp t="s">
        <v>#N/A Requesting Data...4104635919</v>
        <stp/>
        <stp>BDP|2266839468861716558</stp>
        <tr r="E513" s="2"/>
      </tp>
      <tp t="s">
        <v>#N/A Requesting Data...3651085096</v>
        <stp/>
        <stp>BDP|8290595362721657271</stp>
        <tr r="F525" s="2"/>
      </tp>
      <tp t="s">
        <v>#N/A Requesting Data...4151489653</v>
        <stp/>
        <stp>BDP|1210229315963822955</stp>
        <tr r="E489" s="2"/>
      </tp>
      <tp t="s">
        <v>#N/A Requesting Data...3751572140</v>
        <stp/>
        <stp>BDP|5069115664922880849</stp>
        <tr r="H310" s="2"/>
      </tp>
      <tp t="s">
        <v>#N/A Requesting Data...3662897823</v>
        <stp/>
        <stp>BDP|7275192852428478348</stp>
        <tr r="H151" s="2"/>
      </tp>
      <tp t="s">
        <v>#N/A Requesting Data...4287122637</v>
        <stp/>
        <stp>BDP|7825474000842340959</stp>
        <tr r="E149" s="2"/>
      </tp>
      <tp t="s">
        <v>#N/A Requesting Data...3419127635</v>
        <stp/>
        <stp>BDP|9788669702627254086</stp>
        <tr r="G251" s="2"/>
      </tp>
      <tp t="s">
        <v>#N/A Requesting Data...3806270056</v>
        <stp/>
        <stp>BDP|7386748761029644792</stp>
        <tr r="E601" s="2"/>
      </tp>
      <tp t="s">
        <v>#N/A Requesting Data...3919098939</v>
        <stp/>
        <stp>BDP|8516953909081207858</stp>
        <tr r="G342" s="2"/>
      </tp>
      <tp t="s">
        <v>#N/A Requesting Data...4271476678</v>
        <stp/>
        <stp>BDP|5200988115512553748</stp>
        <tr r="G585" s="2"/>
      </tp>
      <tp t="s">
        <v>#N/A Requesting Data...3701150701</v>
        <stp/>
        <stp>BDP|6379795842278218542</stp>
        <tr r="G410" s="2"/>
      </tp>
      <tp t="s">
        <v>#N/A Requesting Data...3673106081</v>
        <stp/>
        <stp>BDP|5972736164765662967</stp>
        <tr r="F488" s="2"/>
      </tp>
      <tp t="s">
        <v>#N/A Requesting Data...3501688721</v>
        <stp/>
        <stp>BDP|7423391872488951394</stp>
        <tr r="F256" s="2"/>
      </tp>
      <tp t="s">
        <v>#N/A Requesting Data...3470054269</v>
        <stp/>
        <stp>BDP|9853379744556116065</stp>
        <tr r="E218" s="2"/>
      </tp>
      <tp t="s">
        <v>#N/A Requesting Data...3906577554</v>
        <stp/>
        <stp>BDP|4162561777887931952</stp>
        <tr r="G210" s="2"/>
      </tp>
      <tp t="s">
        <v>#N/A Requesting Data...4258510112</v>
        <stp/>
        <stp>BDP|5948599088741122159</stp>
        <tr r="F604" s="2"/>
      </tp>
      <tp t="s">
        <v>#N/A Requesting Data...3794803774</v>
        <stp/>
        <stp>BDP|3326931507003355186</stp>
        <tr r="E211" s="2"/>
      </tp>
      <tp t="s">
        <v>#N/A Requesting Data...3994618246</v>
        <stp/>
        <stp>BDP|2935982500367990455</stp>
        <tr r="H116" s="2"/>
      </tp>
      <tp t="s">
        <v>#N/A Requesting Data...4083685562</v>
        <stp/>
        <stp>BDP|3594178152488504787</stp>
        <tr r="H275" s="2"/>
      </tp>
      <tp t="s">
        <v>#N/A Requesting Data...4219933630</v>
        <stp/>
        <stp>BDP|7185592331991385879</stp>
        <tr r="E554" s="2"/>
      </tp>
      <tp t="s">
        <v>#N/A Requesting Data...3817158565</v>
        <stp/>
        <stp>BDP|7339707390469665871</stp>
        <tr r="G594" s="2"/>
      </tp>
      <tp t="s">
        <v>#N/A Requesting Data...3501075445</v>
        <stp/>
        <stp>BDP|9472444235056616014</stp>
        <tr r="G473" s="2"/>
      </tp>
      <tp t="s">
        <v>#N/A Requesting Data...3534956469</v>
        <stp/>
        <stp>BDP|8824663980976928841</stp>
        <tr r="G106" s="2"/>
      </tp>
      <tp t="s">
        <v>#N/A Requesting Data...3611988825</v>
        <stp/>
        <stp>BDP|4168718695630764211</stp>
        <tr r="H518" s="2"/>
      </tp>
      <tp t="s">
        <v>#N/A Requesting Data...3815259476</v>
        <stp/>
        <stp>BDP|8435190828172719113</stp>
        <tr r="F84" s="2"/>
      </tp>
      <tp t="s">
        <v>#N/A Requesting Data...3816709469</v>
        <stp/>
        <stp>BDP|7001993647145845755</stp>
        <tr r="G94" s="2"/>
      </tp>
      <tp t="s">
        <v>#N/A Requesting Data...3596734043</v>
        <stp/>
        <stp>BDP|8775603365274104400</stp>
        <tr r="E430" s="2"/>
      </tp>
      <tp t="s">
        <v>#N/A Requesting Data...3952405921</v>
        <stp/>
        <stp>BDP|4783167622036247912</stp>
        <tr r="AB72" s="1"/>
      </tp>
      <tp t="s">
        <v>#N/A Requesting Data...3450488681</v>
        <stp/>
        <stp>BDP|3494851134111701125</stp>
        <tr r="E362" s="2"/>
      </tp>
      <tp t="s">
        <v>#N/A Requesting Data...3505283248</v>
        <stp/>
        <stp>BDP|8370201971865608042</stp>
        <tr r="F142" s="2"/>
      </tp>
      <tp t="s">
        <v>#N/A Requesting Data...3511086764</v>
        <stp/>
        <stp>BDP|9711537332654620303</stp>
        <tr r="E385" s="2"/>
      </tp>
      <tp t="s">
        <v>#N/A Requesting Data...4219324288</v>
        <stp/>
        <stp>BDP|8584510107967126223</stp>
        <tr r="F390" s="2"/>
      </tp>
      <tp t="s">
        <v>#N/A Requesting Data...3578584526</v>
        <stp/>
        <stp>BDP|4234806503667215336</stp>
        <tr r="G366" s="2"/>
      </tp>
      <tp t="s">
        <v>#N/A Requesting Data...3711378392</v>
        <stp/>
        <stp>BDP|8365610603994917289</stp>
        <tr r="AA58" s="1"/>
      </tp>
      <tp t="s">
        <v>#N/A Requesting Data...4255964432</v>
        <stp/>
        <stp>BDP|2000088734538474191</stp>
        <tr r="E439" s="2"/>
      </tp>
      <tp t="s">
        <v>#N/A Requesting Data...4111285353</v>
        <stp/>
        <stp>BDP|5783712142277339960</stp>
        <tr r="G370" s="2"/>
      </tp>
      <tp t="s">
        <v>#N/A Requesting Data...3665090875</v>
        <stp/>
        <stp>BDP|8669161163735126238</stp>
        <tr r="G298" s="2"/>
      </tp>
      <tp t="s">
        <v>#N/A Requesting Data...4183086045</v>
        <stp/>
        <stp>BDP|6348279606604427874</stp>
        <tr r="F98" s="2"/>
      </tp>
      <tp t="s">
        <v>#N/A Requesting Data...3866462225</v>
        <stp/>
        <stp>BDP|8297556274672651049</stp>
        <tr r="F175" s="2"/>
      </tp>
      <tp t="s">
        <v>#N/A Requesting Data...4267058388</v>
        <stp/>
        <stp>BDP|1640221899414858640</stp>
        <tr r="F623" s="2"/>
      </tp>
      <tp t="s">
        <v>#N/A Requesting Data...4155539531</v>
        <stp/>
        <stp>BDP|3046084913292848820</stp>
        <tr r="E326" s="2"/>
      </tp>
      <tp t="s">
        <v>#N/A Requesting Data...4272290702</v>
        <stp/>
        <stp>BDP|1419943054810402566</stp>
        <tr r="H391" s="2"/>
      </tp>
      <tp t="s">
        <v>#N/A Requesting Data...3812404983</v>
        <stp/>
        <stp>BDP|9274579011294773158</stp>
        <tr r="F307" s="2"/>
      </tp>
      <tp t="s">
        <v>#N/A Requesting Data...3631066539</v>
        <stp/>
        <stp>BDP|9602030440030712544</stp>
        <tr r="H549" s="2"/>
      </tp>
      <tp t="s">
        <v>#N/A Requesting Data...3725201027</v>
        <stp/>
        <stp>BDP|4389852037957149061</stp>
        <tr r="E209" s="2"/>
      </tp>
      <tp t="s">
        <v>#N/A Requesting Data...3654363832</v>
        <stp/>
        <stp>BDP|2192105696183427159</stp>
        <tr r="H248" s="2"/>
      </tp>
      <tp t="s">
        <v>#N/A Requesting Data...3985871398</v>
        <stp/>
        <stp>BDP|9701719870886034719</stp>
        <tr r="Z41" s="1"/>
      </tp>
      <tp t="s">
        <v>#N/A Requesting Data...3528530886</v>
        <stp/>
        <stp>BDP|1496509741858154037</stp>
        <tr r="F569" s="2"/>
      </tp>
      <tp t="s">
        <v>#N/A Requesting Data...3783970874</v>
        <stp/>
        <stp>BDP|2224878848943983534</stp>
        <tr r="H172" s="2"/>
      </tp>
      <tp t="s">
        <v>#N/A Requesting Data...4002160214</v>
        <stp/>
        <stp>BDP|6205153027404031976</stp>
        <tr r="G503" s="2"/>
      </tp>
      <tp t="s">
        <v>#N/A Requesting Data...4226798725</v>
        <stp/>
        <stp>BDP|5677043346458244113</stp>
        <tr r="F296" s="2"/>
      </tp>
      <tp t="s">
        <v>#N/A Requesting Data...3700804793</v>
        <stp/>
        <stp>BDP|3468636411348365422</stp>
        <tr r="F244" s="2"/>
      </tp>
      <tp t="s">
        <v>#N/A Requesting Data...3937051179</v>
        <stp/>
        <stp>BDP|8150722653074221653</stp>
        <tr r="H175" s="2"/>
      </tp>
      <tp t="s">
        <v>#N/A Requesting Data...3598457569</v>
        <stp/>
        <stp>BDP|8640320026294448514</stp>
        <tr r="F20" s="2"/>
      </tp>
      <tp t="s">
        <v>#N/A Requesting Data...3551012104</v>
        <stp/>
        <stp>BDP|7189540946537020976</stp>
        <tr r="G193" s="2"/>
      </tp>
      <tp t="s">
        <v>#N/A Requesting Data...4033458060</v>
        <stp/>
        <stp>BDP|8313237662867657307</stp>
        <tr r="E52" s="2"/>
      </tp>
      <tp t="s">
        <v>#N/A Requesting Data...3948372826</v>
        <stp/>
        <stp>BDP|7173906167062758258</stp>
        <tr r="F188" s="2"/>
      </tp>
      <tp t="s">
        <v>#N/A Requesting Data...3460214269</v>
        <stp/>
        <stp>BDP|2984985311144664624</stp>
        <tr r="G189" s="2"/>
      </tp>
      <tp t="s">
        <v>#N/A Requesting Data...3711693880</v>
        <stp/>
        <stp>BDP|7250694085692821325</stp>
        <tr r="H136" s="2"/>
      </tp>
      <tp t="s">
        <v>#N/A Requesting Data...4077204547</v>
        <stp/>
        <stp>BDP|8025015742052313645</stp>
        <tr r="E183" s="2"/>
      </tp>
      <tp t="s">
        <v>#N/A Requesting Data...3473914752</v>
        <stp/>
        <stp>BDP|2134397999510085045</stp>
        <tr r="G317" s="2"/>
      </tp>
      <tp t="s">
        <v>#N/A Requesting Data...3746195627</v>
        <stp/>
        <stp>BDP|1488131039883820832</stp>
        <tr r="H30" s="2"/>
      </tp>
      <tp t="s">
        <v>#N/A Requesting Data...3534091429</v>
        <stp/>
        <stp>BDP|6669971762646440724</stp>
        <tr r="F385" s="2"/>
      </tp>
      <tp t="s">
        <v>#N/A Requesting Data...3840001488</v>
        <stp/>
        <stp>BDP|1240556173062302927</stp>
        <tr r="H469" s="2"/>
      </tp>
      <tp t="s">
        <v>#N/A Requesting Data...4148526475</v>
        <stp/>
        <stp>BDP|9913249649973772463</stp>
        <tr r="G246" s="2"/>
      </tp>
      <tp t="s">
        <v>#N/A Requesting Data...3941681371</v>
        <stp/>
        <stp>BDP|9290310117206384524</stp>
        <tr r="Z59" s="1"/>
      </tp>
      <tp t="s">
        <v>#N/A Requesting Data...3750836886</v>
        <stp/>
        <stp>BDP|5753820861625838762</stp>
        <tr r="E490" s="2"/>
      </tp>
      <tp t="s">
        <v>#N/A Requesting Data...4201263972</v>
        <stp/>
        <stp>BDP|1645983361331499619</stp>
        <tr r="G352" s="2"/>
      </tp>
      <tp t="s">
        <v>#N/A Requesting Data...4210340111</v>
        <stp/>
        <stp>BDP|4080322840288933202</stp>
        <tr r="E205" s="2"/>
      </tp>
      <tp t="s">
        <v>#N/A Requesting Data...3658702752</v>
        <stp/>
        <stp>BDP|5445842823297038184</stp>
        <tr r="AA3" s="1"/>
      </tp>
      <tp t="s">
        <v>#N/A Requesting Data...3818245634</v>
        <stp/>
        <stp>BDP|9585721706963813427</stp>
        <tr r="F126" s="2"/>
      </tp>
      <tp t="s">
        <v>#N/A Requesting Data...4008242043</v>
        <stp/>
        <stp>BDP|4381357414438337790</stp>
        <tr r="H589" s="2"/>
      </tp>
      <tp t="s">
        <v>#N/A Requesting Data...4205610457</v>
        <stp/>
        <stp>BDP|3820551237629580570</stp>
        <tr r="G399" s="2"/>
      </tp>
      <tp t="s">
        <v>#N/A Requesting Data...3908277938</v>
        <stp/>
        <stp>BDP|8173603743842971138</stp>
        <tr r="E289" s="2"/>
      </tp>
      <tp t="s">
        <v>#N/A Requesting Data...3929761448</v>
        <stp/>
        <stp>BDP|3033976532936580686</stp>
        <tr r="G433" s="2"/>
      </tp>
      <tp t="s">
        <v>#N/A Requesting Data...4072042899</v>
        <stp/>
        <stp>BDP|4953832518192859633</stp>
        <tr r="E265" s="2"/>
      </tp>
      <tp t="s">
        <v>#N/A Requesting Data...4248206298</v>
        <stp/>
        <stp>BDP|5526790521360720934</stp>
        <tr r="E68" s="2"/>
      </tp>
      <tp t="s">
        <v>#N/A Requesting Data...3869113024</v>
        <stp/>
        <stp>BDP|5987051385056668216</stp>
        <tr r="F26" s="2"/>
      </tp>
      <tp t="s">
        <v>#N/A Requesting Data...3558819685</v>
        <stp/>
        <stp>BDP|6856046764201287847</stp>
        <tr r="G170" s="2"/>
      </tp>
      <tp t="s">
        <v>#N/A Requesting Data...4248065868</v>
        <stp/>
        <stp>BDP|7958223123056622805</stp>
        <tr r="E32" s="2"/>
      </tp>
      <tp t="s">
        <v>#N/A Requesting Data...3851156380</v>
        <stp/>
        <stp>BDP|8092041765914820376</stp>
        <tr r="H242" s="2"/>
      </tp>
      <tp t="s">
        <v>#N/A Requesting Data...3632055550</v>
        <stp/>
        <stp>BDP|1689575171738885266</stp>
        <tr r="F103" s="2"/>
      </tp>
      <tp t="s">
        <v>#N/A Requesting Data...3781245927</v>
        <stp/>
        <stp>BDP|1826045773198580754</stp>
        <tr r="F565" s="2"/>
      </tp>
      <tp t="s">
        <v>#N/A Requesting Data...3696841268</v>
        <stp/>
        <stp>BDP|9800678375930026156</stp>
        <tr r="H597" s="2"/>
      </tp>
      <tp t="s">
        <v>#N/A Requesting Data...3806909267</v>
        <stp/>
        <stp>BDP|7938023631614107943</stp>
        <tr r="H369" s="2"/>
      </tp>
      <tp t="s">
        <v>#N/A Requesting Data...4201559439</v>
        <stp/>
        <stp>BDP|8983503219857877272</stp>
        <tr r="AB19" s="1"/>
      </tp>
      <tp t="s">
        <v>#N/A Requesting Data...4018253069</v>
        <stp/>
        <stp>BDP|5018847199424463962</stp>
        <tr r="G486" s="2"/>
      </tp>
      <tp t="s">
        <v>#N/A Requesting Data...3823791386</v>
        <stp/>
        <stp>BDP|5780974692668874467</stp>
        <tr r="F152" s="2"/>
      </tp>
      <tp t="s">
        <v>#N/A Requesting Data...4242373317</v>
        <stp/>
        <stp>BDP|9178849276518609797</stp>
        <tr r="E185" s="2"/>
      </tp>
      <tp t="s">
        <v>#N/A Requesting Data...4172196247</v>
        <stp/>
        <stp>BDP|6649501699233164023</stp>
        <tr r="G82" s="2"/>
      </tp>
      <tp t="s">
        <v>#N/A Requesting Data...4222271621</v>
        <stp/>
        <stp>BDP|4633728686175909762</stp>
        <tr r="G505" s="2"/>
      </tp>
      <tp t="s">
        <v>#N/A Requesting Data...3880998472</v>
        <stp/>
        <stp>BDP|3574148448429349675</stp>
        <tr r="E132" s="2"/>
      </tp>
      <tp t="s">
        <v>#N/A Requesting Data...3984810439</v>
        <stp/>
        <stp>BDP|7311230769903047940</stp>
        <tr r="G205" s="2"/>
      </tp>
      <tp t="s">
        <v>#N/A Requesting Data...3611226480</v>
        <stp/>
        <stp>BDP|3656889355374400323</stp>
        <tr r="E348" s="2"/>
      </tp>
      <tp t="s">
        <v>#N/A Requesting Data...3963279912</v>
        <stp/>
        <stp>BDP|3568862226256023681</stp>
        <tr r="G329" s="2"/>
      </tp>
      <tp t="s">
        <v>#N/A Requesting Data...3941138502</v>
        <stp/>
        <stp>BDP|2654124242218394676</stp>
        <tr r="Z52" s="1"/>
      </tp>
      <tp t="s">
        <v>#N/A Requesting Data...3958325330</v>
        <stp/>
        <stp>BDP|9141113425310445330</stp>
        <tr r="H600" s="2"/>
      </tp>
      <tp t="s">
        <v>#N/A Requesting Data...4100208873</v>
        <stp/>
        <stp>BDP|8669729113880105744</stp>
        <tr r="F325" s="2"/>
      </tp>
      <tp t="s">
        <v>#N/A Requesting Data...4209308733</v>
        <stp/>
        <stp>BDP|1566898232991564293</stp>
        <tr r="G571" s="2"/>
      </tp>
      <tp t="s">
        <v>#N/A Requesting Data...3715509999</v>
        <stp/>
        <stp>BDP|4502225805686234925</stp>
        <tr r="E621" s="2"/>
      </tp>
      <tp t="s">
        <v>#N/A Requesting Data...3995948174</v>
        <stp/>
        <stp>BDP|2001210087794615523</stp>
        <tr r="G294" s="2"/>
      </tp>
      <tp t="s">
        <v>#N/A Requesting Data...4184126008</v>
        <stp/>
        <stp>BDP|9923135669955476241</stp>
        <tr r="E198" s="2"/>
      </tp>
      <tp t="s">
        <v>#N/A Requesting Data...3507147294</v>
        <stp/>
        <stp>BDP|8419162266950739602</stp>
        <tr r="Z96" s="1"/>
      </tp>
      <tp t="s">
        <v>#N/A Requesting Data...3835796847</v>
        <stp/>
        <stp>BDP|1369022092457741675</stp>
        <tr r="G584" s="2"/>
      </tp>
      <tp t="s">
        <v>#N/A Requesting Data...4106520387</v>
        <stp/>
        <stp>BDP|1361153854579922582</stp>
        <tr r="F174" s="2"/>
      </tp>
      <tp t="s">
        <v>#N/A Requesting Data...4266636337</v>
        <stp/>
        <stp>BDP|5848672698955294662</stp>
        <tr r="G88" s="2"/>
      </tp>
      <tp t="s">
        <v>#N/A Requesting Data...4129901447</v>
        <stp/>
        <stp>BDP|3804787696713459711</stp>
        <tr r="H8" s="2"/>
      </tp>
      <tp t="s">
        <v>#N/A Requesting Data...3887634161</v>
        <stp/>
        <stp>BDP|9090043751094301162</stp>
        <tr r="F588" s="2"/>
      </tp>
      <tp t="s">
        <v>#N/A Requesting Data...3609141452</v>
        <stp/>
        <stp>BDP|8797170623475448775</stp>
        <tr r="F89" s="2"/>
      </tp>
      <tp t="s">
        <v>#N/A Requesting Data...3874288893</v>
        <stp/>
        <stp>BDP|8691991809960656808</stp>
        <tr r="F374" s="2"/>
      </tp>
      <tp t="s">
        <v>#N/A Requesting Data...3797250789</v>
        <stp/>
        <stp>BDP|3697160696900154274</stp>
        <tr r="H185" s="2"/>
      </tp>
      <tp t="s">
        <v>#N/A Requesting Data...3690937585</v>
        <stp/>
        <stp>BDP|3164132179364937821</stp>
        <tr r="F393" s="2"/>
      </tp>
      <tp t="s">
        <v>#N/A Requesting Data...4060893270</v>
        <stp/>
        <stp>BDP|4709071787604320141</stp>
        <tr r="AB54" s="1"/>
      </tp>
      <tp t="s">
        <v>#N/A Requesting Data...3690745813</v>
        <stp/>
        <stp>BDP|2847946063695736180</stp>
        <tr r="AB59" s="1"/>
      </tp>
      <tp t="s">
        <v>#N/A Requesting Data...3570615218</v>
        <stp/>
        <stp>BDP|5290780329611538875</stp>
        <tr r="E321" s="2"/>
      </tp>
      <tp t="s">
        <v>#N/A Requesting Data...4083848309</v>
        <stp/>
        <stp>BDP|6607665103190093925</stp>
        <tr r="G404" s="2"/>
      </tp>
      <tp t="s">
        <v>#N/A Requesting Data...3958945737</v>
        <stp/>
        <stp>BDP|2776070480923710060</stp>
        <tr r="H200" s="2"/>
      </tp>
      <tp t="s">
        <v>#N/A Requesting Data...4266929180</v>
        <stp/>
        <stp>BDP|6649610686730191114</stp>
        <tr r="H292" s="2"/>
      </tp>
      <tp t="s">
        <v>#N/A Requesting Data...4049167030</v>
        <stp/>
        <stp>BDP|9943162004235336497</stp>
        <tr r="H605" s="2"/>
      </tp>
      <tp t="s">
        <v>#N/A Requesting Data...3881896696</v>
        <stp/>
        <stp>BDP|1095584149219194016</stp>
        <tr r="H384" s="2"/>
      </tp>
      <tp t="s">
        <v>#N/A Requesting Data...3554448071</v>
        <stp/>
        <stp>BDP|5733508381726136711</stp>
        <tr r="E400" s="2"/>
      </tp>
      <tp t="s">
        <v>#N/A Requesting Data...3992644171</v>
        <stp/>
        <stp>BDP|1806480382403310774</stp>
        <tr r="Z39" s="1"/>
      </tp>
      <tp t="s">
        <v>#N/A Requesting Data...3924232574</v>
        <stp/>
        <stp>BDP|7484240811994766906</stp>
        <tr r="E258" s="2"/>
      </tp>
      <tp t="s">
        <v>#N/A Requesting Data...3890497304</v>
        <stp/>
        <stp>BDP|4430981965376784489</stp>
        <tr r="F417" s="2"/>
      </tp>
      <tp t="s">
        <v>#N/A Requesting Data...3730957513</v>
        <stp/>
        <stp>BDP|2494029923388039132</stp>
        <tr r="H284" s="2"/>
      </tp>
      <tp t="s">
        <v>#N/A Requesting Data...4046615181</v>
        <stp/>
        <stp>BDP|1997709219568357655</stp>
        <tr r="H332" s="2"/>
      </tp>
      <tp t="s">
        <v>#N/A Requesting Data...3579865458</v>
        <stp/>
        <stp>BDP|6753020042592333938</stp>
        <tr r="E431" s="2"/>
      </tp>
      <tp t="s">
        <v>#N/A Requesting Data...4052387644</v>
        <stp/>
        <stp>BDP|5794992555556961655</stp>
        <tr r="G523" s="2"/>
      </tp>
      <tp t="s">
        <v>#N/A Requesting Data...3880756822</v>
        <stp/>
        <stp>BDP|4305936826592149406</stp>
        <tr r="F472" s="2"/>
      </tp>
      <tp t="s">
        <v>#N/A Requesting Data...4057290936</v>
        <stp/>
        <stp>BDP|2346324472187262862</stp>
        <tr r="H383" s="2"/>
      </tp>
      <tp t="s">
        <v>#N/A Requesting Data...3665232583</v>
        <stp/>
        <stp>BDP|3543871279052527793</stp>
        <tr r="F171" s="2"/>
      </tp>
      <tp t="s">
        <v>#N/A Requesting Data...3904491152</v>
        <stp/>
        <stp>BDP|8572612461255153435</stp>
        <tr r="E426" s="2"/>
      </tp>
      <tp t="s">
        <v>#N/A Requesting Data...4242943358</v>
        <stp/>
        <stp>BDP|9178135205387535654</stp>
        <tr r="H317" s="2"/>
      </tp>
      <tp t="s">
        <v>#N/A Requesting Data...4043278564</v>
        <stp/>
        <stp>BDP|9684086329905314730</stp>
        <tr r="H562" s="2"/>
      </tp>
      <tp t="s">
        <v>#N/A Requesting Data...4073387379</v>
        <stp/>
        <stp>BDP|3117549031068817486</stp>
        <tr r="F290" s="2"/>
      </tp>
      <tp t="s">
        <v>#N/A Requesting Data...3728526867</v>
        <stp/>
        <stp>BDP|2563882970264934007</stp>
        <tr r="H22" s="2"/>
        <tr r="H46" s="2"/>
      </tp>
      <tp t="s">
        <v>#N/A Requesting Data...4028903828</v>
        <stp/>
        <stp>BDP|4546467723732207960</stp>
        <tr r="E546" s="2"/>
      </tp>
      <tp t="s">
        <v>#N/A Requesting Data...3688440371</v>
        <stp/>
        <stp>BDP|5992878607231537587</stp>
        <tr r="H215" s="2"/>
      </tp>
      <tp t="s">
        <v>#N/A Requesting Data...3941691725</v>
        <stp/>
        <stp>BDP|4470802294178692435</stp>
        <tr r="G618" s="2"/>
      </tp>
      <tp t="s">
        <v>#N/A Requesting Data...4032125194</v>
        <stp/>
        <stp>BDP|6298587680810877273</stp>
        <tr r="G310" s="2"/>
      </tp>
      <tp t="s">
        <v>#N/A Requesting Data...3977827161</v>
        <stp/>
        <stp>BDP|8697112244261581534</stp>
        <tr r="G119" s="2"/>
      </tp>
      <tp t="s">
        <v>#N/A Requesting Data...3714278759</v>
        <stp/>
        <stp>BDP|8552691264926522477</stp>
        <tr r="AA22" s="1"/>
      </tp>
      <tp t="s">
        <v>#N/A Requesting Data...3573496868</v>
        <stp/>
        <stp>BDP|4005719453588861406</stp>
        <tr r="G176" s="2"/>
      </tp>
      <tp t="s">
        <v>#N/A Requesting Data...3798841009</v>
        <stp/>
        <stp>BDP|8820351851852012668</stp>
        <tr r="H328" s="2"/>
      </tp>
      <tp t="s">
        <v>#N/A Requesting Data...3934636999</v>
        <stp/>
        <stp>BDP|1500881106007882486</stp>
        <tr r="H574" s="2"/>
      </tp>
      <tp t="s">
        <v>#N/A Requesting Data...3952800826</v>
        <stp/>
        <stp>BDP|1797682933759424730</stp>
        <tr r="G454" s="2"/>
      </tp>
      <tp t="s">
        <v>#N/A Requesting Data...4274642672</v>
        <stp/>
        <stp>BDP|5228633496274938455</stp>
        <tr r="E459" s="2"/>
      </tp>
      <tp t="s">
        <v>#N/A Requesting Data...3961644590</v>
        <stp/>
        <stp>BDP|5029063683474913371</stp>
        <tr r="G347" s="2"/>
      </tp>
      <tp t="s">
        <v>#N/A Requesting Data...3610659588</v>
        <stp/>
        <stp>BDP|2928634437624447923</stp>
        <tr r="G541" s="2"/>
      </tp>
      <tp t="s">
        <v>#N/A Requesting Data...4173956460</v>
        <stp/>
        <stp>BDP|7499921063154963644</stp>
        <tr r="E435" s="2"/>
      </tp>
      <tp t="s">
        <v>#N/A Requesting Data...3964954152</v>
        <stp/>
        <stp>BDP|8110315600647084686</stp>
        <tr r="G577" s="2"/>
      </tp>
      <tp t="s">
        <v>#N/A Requesting Data...3717505594</v>
        <stp/>
        <stp>BDP|3784996977645173208</stp>
        <tr r="F517" s="2"/>
      </tp>
      <tp t="s">
        <v>#N/A Requesting Data...3658098141</v>
        <stp/>
        <stp>BDP|8083022889193457965</stp>
        <tr r="F350" s="2"/>
      </tp>
      <tp t="s">
        <v>#N/A Requesting Data...3735794795</v>
        <stp/>
        <stp>BDP|5083000210309067796</stp>
        <tr r="E367" s="2"/>
      </tp>
      <tp t="s">
        <v>#N/A Requesting Data...3822248772</v>
        <stp/>
        <stp>BDP|5962877505651157633</stp>
        <tr r="Z61" s="1"/>
      </tp>
      <tp t="s">
        <v>#N/A Requesting Data...3713656033</v>
        <stp/>
        <stp>BDP|6865982155406973657</stp>
        <tr r="F305" s="2"/>
      </tp>
      <tp t="s">
        <v>#N/A Requesting Data...3749627935</v>
        <stp/>
        <stp>BDP|2974370965719252406</stp>
        <tr r="F69" s="2"/>
      </tp>
      <tp t="s">
        <v>#N/A Requesting Data...3749234457</v>
        <stp/>
        <stp>BDP|3023469184930863530</stp>
        <tr r="E9" s="2"/>
      </tp>
      <tp t="s">
        <v>#N/A Requesting Data...3962349239</v>
        <stp/>
        <stp>BDP|6986082479883785812</stp>
        <tr r="F383" s="2"/>
      </tp>
      <tp t="s">
        <v>#N/A Requesting Data...3814128363</v>
        <stp/>
        <stp>BDP|4989060587030798612</stp>
        <tr r="F243" s="2"/>
      </tp>
      <tp t="s">
        <v>#N/A Requesting Data...4223020842</v>
        <stp/>
        <stp>BDP|2132662073618914134</stp>
        <tr r="H103" s="2"/>
      </tp>
      <tp t="s">
        <v>#N/A Requesting Data...3716610252</v>
        <stp/>
        <stp>BDP|9456459507203979400</stp>
        <tr r="E225" s="2"/>
      </tp>
      <tp t="s">
        <v>#N/A Requesting Data...4014706368</v>
        <stp/>
        <stp>BDP|5487057890215657382</stp>
        <tr r="H149" s="2"/>
      </tp>
      <tp t="s">
        <v>#N/A Requesting Data...3651395644</v>
        <stp/>
        <stp>BDP|8447976031559448199</stp>
        <tr r="F329" s="2"/>
      </tp>
      <tp t="s">
        <v>#N/A Requesting Data...3983627720</v>
        <stp/>
        <stp>BDP|8809482169327258749</stp>
        <tr r="F369" s="2"/>
      </tp>
      <tp t="s">
        <v>#N/A Requesting Data...3759694578</v>
        <stp/>
        <stp>BDP|2361329097542956001</stp>
        <tr r="E99" s="2"/>
      </tp>
      <tp t="s">
        <v>#N/A Requesting Data...4110245692</v>
        <stp/>
        <stp>BDP|6678323208198375705</stp>
        <tr r="F622" s="2"/>
      </tp>
      <tp t="s">
        <v>#N/A Requesting Data...4022926358</v>
        <stp/>
        <stp>BDP|9036873948927225810</stp>
        <tr r="G91" s="2"/>
      </tp>
      <tp t="s">
        <v>#N/A Requesting Data...3914082048</v>
        <stp/>
        <stp>BDP|9791245842336500384</stp>
        <tr r="F297" s="2"/>
      </tp>
      <tp t="s">
        <v>#N/A Requesting Data...4095376843</v>
        <stp/>
        <stp>BDP|3899808037691061332</stp>
        <tr r="G565" s="2"/>
      </tp>
      <tp t="s">
        <v>#N/A Requesting Data...4081096959</v>
        <stp/>
        <stp>BDP|1175124948899586724</stp>
        <tr r="H568" s="2"/>
      </tp>
      <tp t="s">
        <v>#N/A Requesting Data...3648021058</v>
        <stp/>
        <stp>BDP|1483984829504182499</stp>
        <tr r="H484" s="2"/>
      </tp>
      <tp t="s">
        <v>#N/A Requesting Data...3969481463</v>
        <stp/>
        <stp>BDP|7515260814509290786</stp>
        <tr r="F599" s="2"/>
      </tp>
      <tp t="s">
        <v>#N/A Requesting Data...3926470495</v>
        <stp/>
        <stp>BDP|8513129147775456294</stp>
        <tr r="AB62" s="1"/>
      </tp>
      <tp t="s">
        <v>#N/A Requesting Data...3615468644</v>
        <stp/>
        <stp>BDP|8378006645980897632</stp>
        <tr r="H463" s="2"/>
      </tp>
      <tp t="s">
        <v>#N/A Requesting Data...4165776059</v>
        <stp/>
        <stp>BDP|4120507750027972950</stp>
        <tr r="E376" s="2"/>
      </tp>
      <tp t="s">
        <v>#N/A Requesting Data...3724411941</v>
        <stp/>
        <stp>BDP|8181380370861239761</stp>
        <tr r="F389" s="2"/>
      </tp>
      <tp t="s">
        <v>#N/A Requesting Data...4106598036</v>
        <stp/>
        <stp>BDP|4982223546481480942</stp>
        <tr r="G526" s="2"/>
      </tp>
      <tp t="s">
        <v>#N/A Requesting Data...3824065182</v>
        <stp/>
        <stp>BDP|3461977986978359040</stp>
        <tr r="H272" s="2"/>
      </tp>
      <tp t="s">
        <v>#N/A Requesting Data...3693203294</v>
        <stp/>
        <stp>BDP|2697197582097855676</stp>
        <tr r="G397" s="2"/>
      </tp>
      <tp t="s">
        <v>#N/A Requesting Data...4242248666</v>
        <stp/>
        <stp>BDP|7643543611480155907</stp>
        <tr r="G59" s="2"/>
      </tp>
      <tp t="s">
        <v>#N/A Requesting Data...4190829125</v>
        <stp/>
        <stp>BDP|8306979339539902169</stp>
        <tr r="E287" s="2"/>
      </tp>
      <tp t="s">
        <v>#N/A Requesting Data...3702448008</v>
        <stp/>
        <stp>BDP|8378027342733002512</stp>
        <tr r="G164" s="2"/>
      </tp>
      <tp t="s">
        <v>#N/A Requesting Data...4111388174</v>
        <stp/>
        <stp>BDP|2012128005491256866</stp>
        <tr r="H478" s="2"/>
      </tp>
      <tp t="s">
        <v>#N/A Requesting Data...4210123819</v>
        <stp/>
        <stp>BDP|1944474758728432215</stp>
        <tr r="G359" s="2"/>
      </tp>
      <tp t="s">
        <v>#N/A Requesting Data...3768296329</v>
        <stp/>
        <stp>BDP|4914855359877469429</stp>
        <tr r="AA72" s="1"/>
      </tp>
      <tp t="s">
        <v>#N/A Requesting Data...3962693011</v>
        <stp/>
        <stp>BDP|6203162714634212817</stp>
        <tr r="G79" s="2"/>
      </tp>
      <tp t="s">
        <v>#N/A Requesting Data...3967739785</v>
        <stp/>
        <stp>BDP|4473637875087347821</stp>
        <tr r="H12" s="2"/>
      </tp>
      <tp t="s">
        <v>#N/A Requesting Data...4041848890</v>
        <stp/>
        <stp>BDP|9560134212272478133</stp>
        <tr r="G504" s="2"/>
      </tp>
      <tp t="s">
        <v>#N/A Requesting Data...3781334909</v>
        <stp/>
        <stp>BDP|8151251064807194122</stp>
        <tr r="Z70" s="1"/>
      </tp>
      <tp t="s">
        <v>#N/A Requesting Data...3987022181</v>
        <stp/>
        <stp>BDP|6913399195103692506</stp>
        <tr r="E330" s="2"/>
      </tp>
      <tp t="s">
        <v>#N/A Requesting Data...3958586270</v>
        <stp/>
        <stp>BDP|2507466390017190226</stp>
        <tr r="F315" s="2"/>
      </tp>
      <tp t="s">
        <v>#N/A Requesting Data...3925482840</v>
        <stp/>
        <stp>BDP|7819585642074176839</stp>
        <tr r="F130" s="2"/>
      </tp>
      <tp t="s">
        <v>#N/A Requesting Data...3848197288</v>
        <stp/>
        <stp>BDP|6228784568575796857</stp>
        <tr r="E545" s="2"/>
      </tp>
      <tp t="s">
        <v>#N/A Requesting Data...3789915472</v>
        <stp/>
        <stp>BDP|8485203735710085318</stp>
        <tr r="F436" s="2"/>
      </tp>
      <tp t="s">
        <v>#N/A Requesting Data...4019108497</v>
        <stp/>
        <stp>BDP|1046415595754400209</stp>
        <tr r="F105" s="2"/>
      </tp>
      <tp t="s">
        <v>#N/A Requesting Data...4208462372</v>
        <stp/>
        <stp>BDP|9480421187658169708</stp>
        <tr r="H460" s="2"/>
      </tp>
      <tp t="s">
        <v>#N/A Requesting Data...3960922311</v>
        <stp/>
        <stp>BDP|1148751451139232074</stp>
        <tr r="F104" s="2"/>
      </tp>
      <tp t="s">
        <v>#N/A Requesting Data...4138734327</v>
        <stp/>
        <stp>BDP|5708194394394896328</stp>
        <tr r="E492" s="2"/>
      </tp>
      <tp t="s">
        <v>#N/A Requesting Data...4221906132</v>
        <stp/>
        <stp>BDP|8384508709925295286</stp>
        <tr r="F469" s="2"/>
      </tp>
      <tp t="s">
        <v>#N/A Requesting Data...3870231378</v>
        <stp/>
        <stp>BDP|9742676876813090165</stp>
        <tr r="F239" s="2"/>
      </tp>
      <tp t="s">
        <v>#N/A Requesting Data...4006548574</v>
        <stp/>
        <stp>BDP|6509166601844253910</stp>
        <tr r="F434" s="2"/>
      </tp>
      <tp t="s">
        <v>#N/A Requesting Data...3726339947</v>
        <stp/>
        <stp>BDP|8737041222818969896</stp>
        <tr r="H76" s="2"/>
      </tp>
      <tp t="s">
        <v>#N/A Requesting Data...4194286468</v>
        <stp/>
        <stp>BDP|9529611645929275827</stp>
        <tr r="Z50" s="1"/>
      </tp>
      <tp t="s">
        <v>#N/A Requesting Data...4040633244</v>
        <stp/>
        <stp>BDP|4490984960390475198</stp>
        <tr r="H55" s="2"/>
      </tp>
      <tp t="s">
        <v>#N/A Requesting Data...3836153709</v>
        <stp/>
        <stp>BDP|4613978220826645364</stp>
        <tr r="G560" s="2"/>
      </tp>
      <tp t="s">
        <v>#N/A Requesting Data...3607590884</v>
        <stp/>
        <stp>BDP|6502669784023504143</stp>
        <tr r="H75" s="2"/>
      </tp>
      <tp t="s">
        <v>#N/A Requesting Data...3890135368</v>
        <stp/>
        <stp>BDP|9218925624490793857</stp>
        <tr r="G392" s="2"/>
      </tp>
      <tp t="s">
        <v>#N/A Requesting Data...3936925355</v>
        <stp/>
        <stp>BDP|8312073733945252430</stp>
        <tr r="F198" s="2"/>
      </tp>
      <tp t="s">
        <v>#N/A Requesting Data...4199614262</v>
        <stp/>
        <stp>BDP|4527546292016636430</stp>
        <tr r="Z26" s="1"/>
      </tp>
      <tp t="s">
        <v>#N/A Requesting Data...3817388982</v>
        <stp/>
        <stp>BDP|3597756177891588849</stp>
        <tr r="G355" s="2"/>
      </tp>
      <tp t="s">
        <v>#N/A Requesting Data...3646256996</v>
        <stp/>
        <stp>BDP|9721370284831010931</stp>
        <tr r="E244" s="2"/>
      </tp>
      <tp t="s">
        <v>#N/A Requesting Data...4251276005</v>
        <stp/>
        <stp>BDP|5738717266647753909</stp>
        <tr r="F498" s="2"/>
      </tp>
      <tp t="s">
        <v>#N/A Requesting Data...4135211980</v>
        <stp/>
        <stp>BDP|7286254442252640949</stp>
        <tr r="E341" s="2"/>
      </tp>
      <tp t="s">
        <v>#N/A Requesting Data...4285110295</v>
        <stp/>
        <stp>BDP|6557345870449460120</stp>
        <tr r="E486" s="2"/>
      </tp>
      <tp t="s">
        <v>#N/A Requesting Data...3866812193</v>
        <stp/>
        <stp>BDP|8123440563765016511</stp>
        <tr r="H368" s="2"/>
      </tp>
      <tp t="s">
        <v>#N/A Requesting Data...3835084690</v>
        <stp/>
        <stp>BDP|1531000641418403770</stp>
        <tr r="AA21" s="1"/>
      </tp>
      <tp t="s">
        <v>#N/A Requesting Data...4225606738</v>
        <stp/>
        <stp>BDP|8585475149054858671</stp>
        <tr r="H404" s="2"/>
      </tp>
      <tp t="s">
        <v>#N/A Requesting Data...4238622723</v>
        <stp/>
        <stp>BDP|2584883574577457090</stp>
        <tr r="E55" s="2"/>
      </tp>
      <tp t="s">
        <v>#N/A Requesting Data...3695552392</v>
        <stp/>
        <stp>BDP|3140610859978917246</stp>
        <tr r="H595" s="2"/>
      </tp>
      <tp t="s">
        <v>#N/A Requesting Data...4179518912</v>
        <stp/>
        <stp>BDP|2502000257954352950</stp>
        <tr r="G264" s="2"/>
      </tp>
      <tp t="s">
        <v>#N/A Requesting Data...3887021333</v>
        <stp/>
        <stp>BDP|5296230161388641334</stp>
        <tr r="G606" s="2"/>
      </tp>
      <tp t="s">
        <v>#N/A Requesting Data...3659934914</v>
        <stp/>
        <stp>BDP|5014055243319344202</stp>
        <tr r="Z100" s="1"/>
      </tp>
      <tp t="s">
        <v>#N/A Requesting Data...4076435077</v>
        <stp/>
        <stp>BDP|8792623360577357539</stp>
        <tr r="F82" s="2"/>
      </tp>
      <tp t="s">
        <v>#N/A Requesting Data...3958659851</v>
        <stp/>
        <stp>BDP|1074993052774852361</stp>
        <tr r="Z80" s="1"/>
      </tp>
      <tp t="s">
        <v>#N/A Requesting Data...3717516629</v>
        <stp/>
        <stp>BDP|7552107604489118551</stp>
        <tr r="E421" s="2"/>
      </tp>
      <tp t="s">
        <v>#N/A Requesting Data...3932384891</v>
        <stp/>
        <stp>BDP|6143805579290664249</stp>
        <tr r="H273" s="2"/>
      </tp>
      <tp t="s">
        <v>#N/A Requesting Data...3702788359</v>
        <stp/>
        <stp>BDP|3179386895081673308</stp>
        <tr r="F222" s="2"/>
      </tp>
      <tp t="s">
        <v>#N/A Requesting Data...4221837827</v>
        <stp/>
        <stp>BDP|7316658759988283778</stp>
        <tr r="F11" s="2"/>
      </tp>
      <tp t="s">
        <v>#N/A Requesting Data...3943409390</v>
        <stp/>
        <stp>BDP|4266935953535138697</stp>
        <tr r="F563" s="2"/>
      </tp>
      <tp t="s">
        <v>#N/A Requesting Data...3863860367</v>
        <stp/>
        <stp>BDP|9639660341212912227</stp>
        <tr r="E181" s="2"/>
      </tp>
      <tp t="s">
        <v>#N/A Requesting Data...3789336554</v>
        <stp/>
        <stp>BDP|7118553887879954813</stp>
        <tr r="G212" s="2"/>
      </tp>
      <tp t="s">
        <v>#N/A Requesting Data...4294966527</v>
        <stp/>
        <stp>BDP|7591173595263521796</stp>
        <tr r="H365" s="2"/>
      </tp>
      <tp t="s">
        <v>#N/A Requesting Data...4282214143</v>
        <stp/>
        <stp>BDP|4361284636316086866</stp>
        <tr r="E485" s="2"/>
      </tp>
      <tp t="s">
        <v>#N/A Requesting Data...3630352473</v>
        <stp/>
        <stp>BDP|9301117018993612170</stp>
        <tr r="G250" s="2"/>
      </tp>
      <tp t="s">
        <v>#N/A Requesting Data...3865209022</v>
        <stp/>
        <stp>BDP|7201975571981889377</stp>
        <tr r="E72" s="2"/>
      </tp>
      <tp t="s">
        <v>#N/A Requesting Data...4174714169</v>
        <stp/>
        <stp>BDP|6066383878489946026</stp>
        <tr r="E178" s="2"/>
      </tp>
      <tp t="s">
        <v>#N/A Requesting Data...4057314532</v>
        <stp/>
        <stp>BDP|4282901437142790797</stp>
        <tr r="E365" s="2"/>
      </tp>
      <tp t="s">
        <v>#N/A Requesting Data...4243109710</v>
        <stp/>
        <stp>BDP|7894831738462867532</stp>
        <tr r="G406" s="2"/>
      </tp>
      <tp t="s">
        <v>#N/A Requesting Data...3796230123</v>
        <stp/>
        <stp>BDP|5329375576702344899</stp>
        <tr r="E369" s="2"/>
      </tp>
      <tp t="s">
        <v>#N/A Requesting Data...3767700564</v>
        <stp/>
        <stp>BDP|1781996809173867074</stp>
        <tr r="G188" s="2"/>
      </tp>
      <tp t="s">
        <v>#N/A Requesting Data...3816040470</v>
        <stp/>
        <stp>BDP|7489173098106031236</stp>
        <tr r="E392" s="2"/>
      </tp>
      <tp t="s">
        <v>#N/A Requesting Data...3769305230</v>
        <stp/>
        <stp>BDP|2404228807399176282</stp>
        <tr r="E322" s="2"/>
      </tp>
      <tp t="s">
        <v>#N/A Requesting Data...4161404726</v>
        <stp/>
        <stp>BDP|9692226809681701128</stp>
        <tr r="H263" s="2"/>
      </tp>
      <tp t="s">
        <v>#N/A Requesting Data...4040383877</v>
        <stp/>
        <stp>BDP|5885669581518251855</stp>
        <tr r="E352" s="2"/>
      </tp>
      <tp t="s">
        <v>#N/A Requesting Data...4008353095</v>
        <stp/>
        <stp>BDP|1973471526115994998</stp>
        <tr r="F577" s="2"/>
      </tp>
      <tp t="s">
        <v>#N/A Requesting Data...3934521835</v>
        <stp/>
        <stp>BDP|9164539234087923361</stp>
        <tr r="F496" s="2"/>
      </tp>
      <tp t="s">
        <v>#N/A Requesting Data...3787453347</v>
        <stp/>
        <stp>BDP|8995030672523846796</stp>
        <tr r="G25" s="2"/>
      </tp>
      <tp t="s">
        <v>#N/A Requesting Data...4165085910</v>
        <stp/>
        <stp>BDP|4563906354252126195</stp>
        <tr r="H281" s="2"/>
      </tp>
      <tp t="s">
        <v>#N/A Requesting Data...4156641410</v>
        <stp/>
        <stp>BDP|1486633987075954109</stp>
        <tr r="G615" s="2"/>
      </tp>
      <tp t="s">
        <v>#N/A Requesting Data...4183930637</v>
        <stp/>
        <stp>BDP|1261884903611146368</stp>
        <tr r="H314" s="2"/>
      </tp>
      <tp t="s">
        <v>#N/A Requesting Data...3954167075</v>
        <stp/>
        <stp>BDP|4352194052979277244</stp>
        <tr r="F199" s="2"/>
      </tp>
      <tp t="s">
        <v>#N/A Requesting Data...4172181432</v>
        <stp/>
        <stp>BDP|5753651690765542494</stp>
        <tr r="Z97" s="1"/>
      </tp>
      <tp t="s">
        <v>#N/A Requesting Data...4013612665</v>
        <stp/>
        <stp>BDP|5379882037562630740</stp>
        <tr r="H305" s="2"/>
      </tp>
      <tp t="s">
        <v>#N/A Requesting Data...3668663916</v>
        <stp/>
        <stp>BDP|5769126389233465460</stp>
        <tr r="F612" s="2"/>
      </tp>
      <tp t="s">
        <v>#N/A Requesting Data...3994389281</v>
        <stp/>
        <stp>BDP|9375508603795705282</stp>
        <tr r="E77" s="2"/>
      </tp>
      <tp t="s">
        <v>#N/A Requesting Data...3995286138</v>
        <stp/>
        <stp>BDP|8974708153263400210</stp>
        <tr r="F212" s="2"/>
      </tp>
      <tp t="s">
        <v>#N/A Requesting Data...3913400205</v>
        <stp/>
        <stp>BDP|1507584847612090954</stp>
        <tr r="H594" s="2"/>
      </tp>
      <tp t="s">
        <v>#N/A Requesting Data...3848516088</v>
        <stp/>
        <stp>BDP|3520461109539040553</stp>
        <tr r="E403" s="2"/>
      </tp>
      <tp t="s">
        <v>#N/A Requesting Data...3847093812</v>
        <stp/>
        <stp>BDP|5098069191783852401</stp>
        <tr r="G568" s="2"/>
      </tp>
      <tp t="s">
        <v>#N/A Requesting Data...3702712921</v>
        <stp/>
        <stp>BDP|6022743794304964760</stp>
        <tr r="G460" s="2"/>
      </tp>
      <tp t="s">
        <v>#N/A Requesting Data...3843730315</v>
        <stp/>
        <stp>BDP|8189547231634028181</stp>
        <tr r="G296" s="2"/>
      </tp>
      <tp t="s">
        <v>#N/A Requesting Data...4207138630</v>
        <stp/>
        <stp>BDP|6628927847876859672</stp>
        <tr r="G128" s="2"/>
      </tp>
      <tp t="s">
        <v>#N/A Requesting Data...4049931529</v>
        <stp/>
        <stp>BDP|3773190582088539958</stp>
        <tr r="F266" s="2"/>
      </tp>
      <tp t="s">
        <v>#N/A Requesting Data...3706820531</v>
        <stp/>
        <stp>BDP|1987853663750689455</stp>
        <tr r="E396" s="2"/>
      </tp>
      <tp t="s">
        <v>#N/A Requesting Data...4021438553</v>
        <stp/>
        <stp>BDP|5807122617587446952</stp>
        <tr r="AA6" s="1"/>
      </tp>
      <tp t="s">
        <v>#N/A Requesting Data...4233443409</v>
        <stp/>
        <stp>BDP|8711002320268826931</stp>
        <tr r="F233" s="2"/>
      </tp>
      <tp t="s">
        <v>#N/A Requesting Data...3988327812</v>
        <stp/>
        <stp>BDP|5821243180292812680</stp>
        <tr r="G271" s="2"/>
      </tp>
      <tp t="s">
        <v>#N/A Requesting Data...4281750446</v>
        <stp/>
        <stp>BDP|9200079247871948770</stp>
        <tr r="G608" s="2"/>
      </tp>
      <tp t="s">
        <v>#N/A Requesting Data...3698639727</v>
        <stp/>
        <stp>BDP|5939671438178976321</stp>
        <tr r="AB14" s="1"/>
      </tp>
      <tp t="s">
        <v>#N/A Requesting Data...4218024996</v>
        <stp/>
        <stp>BDP|3237375450217554928</stp>
        <tr r="AA25" s="1"/>
      </tp>
      <tp t="s">
        <v>#N/A Requesting Data...3914656338</v>
        <stp/>
        <stp>BDP|9368165830249601915</stp>
        <tr r="G528" s="2"/>
        <tr r="G530" s="2"/>
        <tr r="G542" s="2"/>
        <tr r="G625" s="2"/>
        <tr r="G627" s="2"/>
        <tr r="G629" s="2"/>
        <tr r="G631" s="2"/>
        <tr r="G633" s="2"/>
        <tr r="G635" s="2"/>
        <tr r="G637" s="2"/>
      </tp>
      <tp t="s">
        <v>#N/A Requesting Data...3812370344</v>
        <stp/>
        <stp>BDP|4721280439188443618</stp>
        <tr r="E556" s="2"/>
      </tp>
      <tp t="s">
        <v>#N/A Requesting Data...4256023635</v>
        <stp/>
        <stp>BDP|5755005495202981589</stp>
        <tr r="G601" s="2"/>
      </tp>
      <tp t="s">
        <v>#N/A Requesting Data...3841701155</v>
        <stp/>
        <stp>BDP|7832836350550917113</stp>
        <tr r="H127" s="2"/>
      </tp>
      <tp t="s">
        <v>#N/A Requesting Data...4212988851</v>
        <stp/>
        <stp>BDP|9429075025671379161</stp>
        <tr r="F564" s="2"/>
      </tp>
      <tp t="s">
        <v>#N/A Requesting Data...3754318639</v>
        <stp/>
        <stp>BDP|8767003710450084276</stp>
        <tr r="H207" s="2"/>
      </tp>
      <tp t="s">
        <v>#N/A Requesting Data...3792035850</v>
        <stp/>
        <stp>BDP|5235708883865846498</stp>
        <tr r="G381" s="2"/>
      </tp>
      <tp t="s">
        <v>#N/A Requesting Data...4106740672</v>
        <stp/>
        <stp>BDP|4291026931544823897</stp>
        <tr r="G222" s="2"/>
      </tp>
      <tp t="s">
        <v>#N/A Requesting Data...3876622918</v>
        <stp/>
        <stp>BDP|9603844044686653806</stp>
        <tr r="G318" s="2"/>
      </tp>
      <tp t="s">
        <v>#N/A Requesting Data...3881373331</v>
        <stp/>
        <stp>BDP|3212914513655164516</stp>
        <tr r="F355" s="2"/>
      </tp>
      <tp t="s">
        <v>#N/A Requesting Data...3710439060</v>
        <stp/>
        <stp>BDP|8242523982306409867</stp>
        <tr r="E113" s="2"/>
      </tp>
      <tp t="s">
        <v>#N/A Requesting Data...4156599679</v>
        <stp/>
        <stp>BDP|5043354390972497615</stp>
        <tr r="E148" s="2"/>
      </tp>
      <tp t="s">
        <v>#N/A Requesting Data...4256756825</v>
        <stp/>
        <stp>BDP|2677934932253406028</stp>
        <tr r="H607" s="2"/>
      </tp>
      <tp t="s">
        <v>#N/A Requesting Data...3806193502</v>
        <stp/>
        <stp>BDP|1966365980626654789</stp>
        <tr r="Z64" s="1"/>
      </tp>
      <tp t="s">
        <v>#N/A Requesting Data...3990119552</v>
        <stp/>
        <stp>BDP|2878142298777539609</stp>
        <tr r="E371" s="2"/>
      </tp>
      <tp t="s">
        <v>#N/A Requesting Data...3757125723</v>
        <stp/>
        <stp>BDP|9326491569268284802</stp>
        <tr r="E278" s="2"/>
      </tp>
      <tp t="s">
        <v>#N/A Requesting Data...3838565060</v>
        <stp/>
        <stp>BDP|1569956190058842299</stp>
        <tr r="H344" s="2"/>
      </tp>
      <tp t="s">
        <v>#N/A Requesting Data...4081515236</v>
        <stp/>
        <stp>BDP|9450679543382554246</stp>
        <tr r="F624" s="2"/>
      </tp>
      <tp t="s">
        <v>#N/A Requesting Data...3995953835</v>
        <stp/>
        <stp>BDP|8394941851547242856</stp>
        <tr r="G308" s="2"/>
      </tp>
      <tp t="s">
        <v>#N/A Requesting Data...4065721831</v>
        <stp/>
        <stp>BDP|6264764621768012044</stp>
        <tr r="E168" s="2"/>
      </tp>
      <tp t="s">
        <v>#N/A Requesting Data...3773229125</v>
        <stp/>
        <stp>BDP|8351559959903826061</stp>
        <tr r="H258" s="2"/>
      </tp>
      <tp t="s">
        <v>#N/A Requesting Data...3920129970</v>
        <stp/>
        <stp>BDP|9298203165490301626</stp>
        <tr r="G452" s="2"/>
      </tp>
      <tp t="s">
        <v>#N/A Requesting Data...4032196802</v>
        <stp/>
        <stp>BDP|6259964218770995532</stp>
        <tr r="G221" s="2"/>
      </tp>
      <tp t="s">
        <v>#N/A Requesting Data...4013232463</v>
        <stp/>
        <stp>BDP|1626002131161778866</stp>
        <tr r="H286" s="2"/>
      </tp>
      <tp t="s">
        <v>#N/A Requesting Data...4068729351</v>
        <stp/>
        <stp>BDP|2506172583962602218</stp>
        <tr r="AA51" s="1"/>
      </tp>
      <tp t="s">
        <v>#N/A Requesting Data...4107201765</v>
        <stp/>
        <stp>BDP|1904173849486988996</stp>
        <tr r="G620" s="2"/>
      </tp>
      <tp t="s">
        <v>#N/A Requesting Data...3839368472</v>
        <stp/>
        <stp>BDP|2835788835015165835</stp>
        <tr r="E624" s="2"/>
      </tp>
      <tp t="s">
        <v>#N/A Requesting Data...4201059149</v>
        <stp/>
        <stp>BDP|3267899499270634930</stp>
        <tr r="AB46" s="1"/>
      </tp>
      <tp t="s">
        <v>#N/A Requesting Data...3948591057</v>
        <stp/>
        <stp>BDP|1555270482181148163</stp>
        <tr r="G84" s="2"/>
      </tp>
      <tp t="s">
        <v>#N/A Requesting Data...4180640826</v>
        <stp/>
        <stp>BDP|7856908368926766507</stp>
        <tr r="E465" s="2"/>
      </tp>
      <tp t="s">
        <v>#N/A Requesting Data...4171698866</v>
        <stp/>
        <stp>BDP|9761846411788362365</stp>
        <tr r="E582" s="2"/>
      </tp>
      <tp t="s">
        <v>#N/A Requesting Data...4005079573</v>
        <stp/>
        <stp>BDP|1892821769614310047</stp>
        <tr r="G611" s="2"/>
      </tp>
      <tp t="s">
        <v>#N/A Requesting Data...4119961760</v>
        <stp/>
        <stp>BDP|9420898267564851862</stp>
        <tr r="G207" s="2"/>
      </tp>
      <tp t="s">
        <v>#N/A Requesting Data...4038234536</v>
        <stp/>
        <stp>BDP|6076332753833335872</stp>
        <tr r="H526" s="2"/>
      </tp>
      <tp t="s">
        <v>#N/A Requesting Data...3985290509</v>
        <stp/>
        <stp>BDP|3312757727955165846</stp>
        <tr r="F268" s="2"/>
      </tp>
      <tp t="s">
        <v>#N/A Requesting Data...4038962107</v>
        <stp/>
        <stp>BDP|6842686080305175657</stp>
        <tr r="H379" s="2"/>
      </tp>
      <tp t="s">
        <v>#N/A Requesting Data...3933126332</v>
        <stp/>
        <stp>BDP|3029063142764664865</stp>
        <tr r="H217" s="2"/>
      </tp>
      <tp t="s">
        <v>#N/A Requesting Data...3863419984</v>
        <stp/>
        <stp>BDP|4570476675175066930</stp>
        <tr r="Z106" s="1"/>
      </tp>
      <tp t="s">
        <v>#N/A Requesting Data...3798898067</v>
        <stp/>
        <stp>BDP|5789553306489160204</stp>
        <tr r="F396" s="2"/>
      </tp>
      <tp t="s">
        <v>#N/A Requesting Data...3927881457</v>
        <stp/>
        <stp>BDP|5287780105151968832</stp>
        <tr r="AA70" s="1"/>
      </tp>
      <tp t="s">
        <v>#N/A Requesting Data...4096729025</v>
        <stp/>
        <stp>BDP|1786664406019017522</stp>
        <tr r="F482" s="2"/>
      </tp>
      <tp t="s">
        <v>#N/A Requesting Data...3750510464</v>
        <stp/>
        <stp>BDP|2748977636566402578</stp>
        <tr r="F490" s="2"/>
      </tp>
      <tp t="s">
        <v>#N/A Requesting Data...3760664668</v>
        <stp/>
        <stp>BDP|3306934034494764664</stp>
        <tr r="F312" s="2"/>
      </tp>
      <tp t="s">
        <v>#N/A Requesting Data...3751169930</v>
        <stp/>
        <stp>BDP|2404836310165718551</stp>
        <tr r="H517" s="2"/>
      </tp>
      <tp t="s">
        <v>#N/A Requesting Data...3847118212</v>
        <stp/>
        <stp>BDP|9922979821471235776</stp>
        <tr r="AA36" s="1"/>
      </tp>
      <tp t="s">
        <v>#N/A Requesting Data...3868380851</v>
        <stp/>
        <stp>BDP|2223957387767357098</stp>
        <tr r="Z104" s="1"/>
      </tp>
      <tp t="s">
        <v>#N/A Requesting Data...3801701798</v>
        <stp/>
        <stp>BDP|9814264079398916044</stp>
        <tr r="E51" s="2"/>
      </tp>
      <tp t="s">
        <v>#N/A Requesting Data...3955268678</v>
        <stp/>
        <stp>BDP|2840423860961008517</stp>
        <tr r="H154" s="2"/>
      </tp>
      <tp t="s">
        <v>#N/A Requesting Data...3771380586</v>
        <stp/>
        <stp>BDP|6579476143802241080</stp>
        <tr r="E73" s="2"/>
      </tp>
      <tp t="s">
        <v>#N/A Requesting Data...4048455288</v>
        <stp/>
        <stp>BDP|6759329963817819059</stp>
        <tr r="H482" s="2"/>
      </tp>
      <tp t="s">
        <v>#N/A Requesting Data...3957857353</v>
        <stp/>
        <stp>BDP|6761788809460865553</stp>
        <tr r="G367" s="2"/>
      </tp>
      <tp t="s">
        <v>#N/A Requesting Data...3865311468</v>
        <stp/>
        <stp>BDP|1827601633108931891</stp>
        <tr r="AA59" s="1"/>
      </tp>
      <tp t="s">
        <v>#N/A Requesting Data...3726929223</v>
        <stp/>
        <stp>BDP|8405111310165970974</stp>
        <tr r="G96" s="2"/>
      </tp>
      <tp t="s">
        <v>#N/A Requesting Data...4205964374</v>
        <stp/>
        <stp>BDP|6348070855931896620</stp>
        <tr r="H511" s="2"/>
      </tp>
      <tp t="s">
        <v>#N/A Requesting Data...4224237770</v>
        <stp/>
        <stp>BDP|1748577830637875434</stp>
        <tr r="H208" s="2"/>
      </tp>
      <tp t="s">
        <v>#N/A Requesting Data...4185312672</v>
        <stp/>
        <stp>BDP|6126340417903891329</stp>
        <tr r="G441" s="2"/>
      </tp>
      <tp t="s">
        <v>#N/A Requesting Data...3742946297</v>
        <stp/>
        <stp>BDP|7316812737681565988</stp>
        <tr r="E427" s="2"/>
      </tp>
      <tp t="s">
        <v>#N/A Requesting Data...3911578963</v>
        <stp/>
        <stp>BDP|1618069109292661773</stp>
        <tr r="E553" s="2"/>
      </tp>
      <tp t="s">
        <v>#N/A Requesting Data...3927105615</v>
        <stp/>
        <stp>BDP|4695130338126006457</stp>
        <tr r="G472" s="2"/>
      </tp>
      <tp t="s">
        <v>#N/A Requesting Data...3859067364</v>
        <stp/>
        <stp>BDP|3197676077687941109</stp>
        <tr r="F267" s="2"/>
      </tp>
      <tp t="s">
        <v>#N/A Requesting Data...4170547031</v>
        <stp/>
        <stp>BDP|2449370096119925540</stp>
        <tr r="F617" s="2"/>
      </tp>
      <tp t="s">
        <v>#N/A Requesting Data...4092596147</v>
        <stp/>
        <stp>BDP|4234432131023911404</stp>
        <tr r="H340" s="2"/>
      </tp>
      <tp t="s">
        <v>#N/A Requesting Data...3972755616</v>
        <stp/>
        <stp>BDP|1868946994723193675</stp>
        <tr r="AB10" s="1"/>
      </tp>
      <tp t="s">
        <v>#N/A Requesting Data...4013048304</v>
        <stp/>
        <stp>BDP|7600118299052753970</stp>
        <tr r="E228" s="2"/>
      </tp>
      <tp t="s">
        <v>#N/A Requesting Data...4093545589</v>
        <stp/>
        <stp>BDP|7497126723860979021</stp>
        <tr r="G378" s="2"/>
      </tp>
      <tp t="s">
        <v>#N/A Requesting Data...4011222794</v>
        <stp/>
        <stp>BDP|8937350888984203388</stp>
        <tr r="G139" s="2"/>
      </tp>
      <tp t="s">
        <v>#N/A Requesting Data...3883361074</v>
        <stp/>
        <stp>BDP|5973994755675885839</stp>
        <tr r="G274" s="2"/>
      </tp>
      <tp t="s">
        <v>#N/A Requesting Data...3966464493</v>
        <stp/>
        <stp>BDP|5764538560111224394</stp>
        <tr r="H603" s="2"/>
      </tp>
      <tp t="s">
        <v>#N/A Requesting Data...4210775530</v>
        <stp/>
        <stp>BDP|6881379017847193769</stp>
        <tr r="F176" s="2"/>
      </tp>
      <tp t="s">
        <v>#N/A Requesting Data...3856609193</v>
        <stp/>
        <stp>BDP|7538251431594982674</stp>
        <tr r="F8" s="2"/>
      </tp>
      <tp t="s">
        <v>#N/A Requesting Data...4140535083</v>
        <stp/>
        <stp>BDP|7350780159228804955</stp>
        <tr r="G290" s="2"/>
      </tp>
      <tp t="s">
        <v>#N/A Requesting Data...3999366299</v>
        <stp/>
        <stp>BDP|8344446356508618582</stp>
        <tr r="F135" s="2"/>
      </tp>
      <tp t="s">
        <v>#N/A Requesting Data...4124405221</v>
        <stp/>
        <stp>BDP|7925748869715822738</stp>
        <tr r="H473" s="2"/>
      </tp>
      <tp t="s">
        <v>#N/A Requesting Data...3961467832</v>
        <stp/>
        <stp>BDP|3433499567551111473</stp>
        <tr r="F363" s="2"/>
      </tp>
      <tp t="s">
        <v>#N/A Requesting Data...4211258245</v>
        <stp/>
        <stp>BDP|2933693768971090741</stp>
        <tr r="G532" s="2"/>
      </tp>
      <tp t="s">
        <v>#N/A Requesting Data...4041869510</v>
        <stp/>
        <stp>BDP|5947396541200599688</stp>
        <tr r="E488" s="2"/>
      </tp>
      <tp t="s">
        <v>#N/A Requesting Data...3922442510</v>
        <stp/>
        <stp>BDP|3015837364381272891</stp>
        <tr r="G357" s="2"/>
      </tp>
      <tp t="s">
        <v>#N/A Requesting Data...4117889391</v>
        <stp/>
        <stp>BDP|2672244544356222680</stp>
        <tr r="H438" s="2"/>
      </tp>
      <tp t="s">
        <v>#N/A Requesting Data...4087056351</v>
        <stp/>
        <stp>BDP|1693574778903428411</stp>
        <tr r="G388" s="2"/>
      </tp>
      <tp t="s">
        <v>#N/A Requesting Data...4246018794</v>
        <stp/>
        <stp>BDP|3171514972824765183</stp>
        <tr r="E271" s="2"/>
      </tp>
      <tp t="s">
        <v>#N/A Requesting Data...3990930852</v>
        <stp/>
        <stp>BDP|1747295501281065624</stp>
        <tr r="H228" s="2"/>
      </tp>
      <tp t="s">
        <v>#N/A Requesting Data...3755764197</v>
        <stp/>
        <stp>BDP|3663601461957637036</stp>
        <tr r="G428" s="2"/>
      </tp>
      <tp t="s">
        <v>#N/A Requesting Data...3827834561</v>
        <stp/>
        <stp>BDP|2775417124917003703</stp>
        <tr r="E472" s="2"/>
      </tp>
      <tp t="s">
        <v>#N/A Requesting Data...4139836597</v>
        <stp/>
        <stp>BDP|9794943841222776272</stp>
        <tr r="E274" s="2"/>
      </tp>
      <tp t="s">
        <v>#N/A Requesting Data...3874827002</v>
        <stp/>
        <stp>BDP|9690702682981256347</stp>
        <tr r="H137" s="2"/>
      </tp>
      <tp t="s">
        <v>#N/A Requesting Data...4012001359</v>
        <stp/>
        <stp>BDP|4377485609747162311</stp>
        <tr r="G132" s="2"/>
      </tp>
      <tp t="s">
        <v>#N/A Requesting Data...3926768764</v>
        <stp/>
        <stp>BDP|5968673572407724796</stp>
        <tr r="H104" s="2"/>
      </tp>
      <tp t="s">
        <v>#N/A Requesting Data...3953535597</v>
        <stp/>
        <stp>BDP|4399436507896682238</stp>
        <tr r="F407" s="2"/>
      </tp>
      <tp t="s">
        <v>#N/A Requesting Data...3835717963</v>
        <stp/>
        <stp>BDP|8417542888343276281</stp>
        <tr r="G327" s="2"/>
      </tp>
      <tp t="s">
        <v>#N/A Requesting Data...4036630278</v>
        <stp/>
        <stp>BDP|6413444847077312562</stp>
        <tr r="F200" s="2"/>
      </tp>
      <tp t="s">
        <v>#N/A Requesting Data...3905788911</v>
        <stp/>
        <stp>BDP|8216905466644784707</stp>
        <tr r="G419" s="2"/>
      </tp>
      <tp t="s">
        <v>#N/A Requesting Data...3840572385</v>
        <stp/>
        <stp>BDP|4570129322191227241</stp>
        <tr r="G114" s="2"/>
      </tp>
      <tp t="s">
        <v>#N/A Requesting Data...4058562099</v>
        <stp/>
        <stp>BDP|9093474094026209622</stp>
        <tr r="AA78" s="1"/>
      </tp>
      <tp t="s">
        <v>#N/A Requesting Data...4081719931</v>
        <stp/>
        <stp>BDP|2211420152920748763</stp>
        <tr r="E343" s="2"/>
      </tp>
      <tp t="s">
        <v>#N/A Requesting Data...4253126964</v>
        <stp/>
        <stp>BDP|8975822244073495382</stp>
        <tr r="F594" s="2"/>
      </tp>
      <tp t="s">
        <v>#N/A Requesting Data...4172121710</v>
        <stp/>
        <stp>BDP|1600419061220397762</stp>
        <tr r="G151" s="2"/>
      </tp>
      <tp t="s">
        <v>#N/A Requesting Data...3844488199</v>
        <stp/>
        <stp>BDP|5658773905264217255</stp>
        <tr r="F139" s="2"/>
      </tp>
      <tp t="s">
        <v>#N/A Requesting Data...4006621991</v>
        <stp/>
        <stp>BDP|3161270253692104270</stp>
        <tr r="F18" s="2"/>
        <tr r="F45" s="2"/>
      </tp>
      <tp t="s">
        <v>#N/A Requesting Data...4225811181</v>
        <stp/>
        <stp>BDP|1930461501152978344</stp>
        <tr r="G173" s="2"/>
      </tp>
      <tp t="s">
        <v>#N/A Requesting Data...3916159994</v>
        <stp/>
        <stp>BDP|5022131755105423013</stp>
        <tr r="E494" s="2"/>
      </tp>
      <tp t="s">
        <v>#N/A Requesting Data...3982206911</v>
        <stp/>
        <stp>BDP|6635784958292147243</stp>
        <tr r="H170" s="2"/>
      </tp>
      <tp t="s">
        <v>#N/A Requesting Data...3885773717</v>
        <stp/>
        <stp>BDP|4480370228045186494</stp>
        <tr r="G61" s="2"/>
      </tp>
      <tp t="s">
        <v>#N/A Requesting Data...4229035885</v>
        <stp/>
        <stp>BDP|8435492452458818543</stp>
        <tr r="F242" s="2"/>
      </tp>
      <tp t="s">
        <v>#N/A Requesting Data...4250062173</v>
        <stp/>
        <stp>BDP|9075661724499420057</stp>
        <tr r="Z37" s="1"/>
      </tp>
      <tp t="s">
        <v>#N/A Requesting Data...3866183375</v>
        <stp/>
        <stp>BDP|7852454760578843966</stp>
        <tr r="G198" s="2"/>
      </tp>
      <tp t="s">
        <v>#N/A Requesting Data...3871526695</v>
        <stp/>
        <stp>BDP|3754165140771710350</stp>
        <tr r="G379" s="2"/>
      </tp>
      <tp t="s">
        <v>#N/A Requesting Data...4248439781</v>
        <stp/>
        <stp>BDP|1848194336774071378</stp>
        <tr r="F581" s="2"/>
      </tp>
      <tp t="s">
        <v>#N/A Requesting Data...4277226299</v>
        <stp/>
        <stp>BDP|3687612296599455150</stp>
        <tr r="G175" s="2"/>
      </tp>
      <tp t="s">
        <v>#N/A Requesting Data...4266440693</v>
        <stp/>
        <stp>BDP|3492269035974113265</stp>
        <tr r="E299" s="2"/>
      </tp>
      <tp t="s">
        <v>#N/A Requesting Data...4293726718</v>
        <stp/>
        <stp>BDP|8357679702103278947</stp>
        <tr r="E63" s="2"/>
      </tp>
      <tp t="s">
        <v>#N/A Requesting Data...3909372359</v>
        <stp/>
        <stp>BDP|3644433003494167770</stp>
        <tr r="F74" s="2"/>
      </tp>
      <tp t="s">
        <v>#N/A Requesting Data...3896271352</v>
        <stp/>
        <stp>BDP|9491412050028728431</stp>
        <tr r="F223" s="2"/>
      </tp>
      <tp t="s">
        <v>#N/A Requesting Data...3809905385</v>
        <stp/>
        <stp>BDP|9122809256018164876</stp>
        <tr r="G518" s="2"/>
      </tp>
      <tp t="s">
        <v>#N/A Requesting Data...4184043920</v>
        <stp/>
        <stp>BDP|1444810840119290061</stp>
        <tr r="H57" s="2"/>
      </tp>
      <tp t="s">
        <v>#N/A Requesting Data...4104724672</v>
        <stp/>
        <stp>BDP|6399546836467986392</stp>
        <tr r="F438" s="2"/>
      </tp>
      <tp t="s">
        <v>#N/A Requesting Data...3998926514</v>
        <stp/>
        <stp>BDP|3561021836493976794</stp>
        <tr r="Z30" s="1"/>
      </tp>
      <tp t="s">
        <v>#N/A Requesting Data...4101421364</v>
        <stp/>
        <stp>BDP|7108254942330434536</stp>
        <tr r="AA13" s="1"/>
      </tp>
      <tp t="s">
        <v>#N/A Requesting Data...4048826241</v>
        <stp/>
        <stp>BDP|3303458020167019604</stp>
        <tr r="F88" s="2"/>
      </tp>
      <tp t="s">
        <v>#N/A Requesting Data...3887409975</v>
        <stp/>
        <stp>BDP|3125520836718420979</stp>
        <tr r="H472" s="2"/>
      </tp>
      <tp t="s">
        <v>#N/A Requesting Data...3897297831</v>
        <stp/>
        <stp>BDP|4619160796728975091</stp>
        <tr r="G389" s="2"/>
      </tp>
      <tp t="s">
        <v>#N/A Requesting Data...4022238457</v>
        <stp/>
        <stp>BDP|4688005451730425558</stp>
        <tr r="H576" s="2"/>
      </tp>
      <tp t="s">
        <v>#N/A Requesting Data...4276866714</v>
        <stp/>
        <stp>BDP|3229250161784547756</stp>
        <tr r="H155" s="2"/>
      </tp>
      <tp t="s">
        <v>#N/A Requesting Data...4184100848</v>
        <stp/>
        <stp>BDP|4820305518654560631</stp>
        <tr r="H238" s="2"/>
      </tp>
      <tp t="s">
        <v>#N/A Requesting Data...4080763220</v>
        <stp/>
        <stp>BDP|3294542222646416674</stp>
        <tr r="E232" s="2"/>
      </tp>
      <tp t="s">
        <v>#N/A Requesting Data...4247204349</v>
        <stp/>
        <stp>BDP|4183980336093871902</stp>
        <tr r="H163" s="2"/>
      </tp>
      <tp t="s">
        <v>#N/A Requesting Data...4089239010</v>
        <stp/>
        <stp>BDP|4457176046672395710</stp>
        <tr r="G431" s="2"/>
      </tp>
      <tp t="s">
        <v>#N/A Requesting Data...3893536667</v>
        <stp/>
        <stp>BDP|1988115319021666408</stp>
        <tr r="H48" s="2"/>
      </tp>
      <tp t="s">
        <v>#N/A Requesting Data...4010441383</v>
        <stp/>
        <stp>BDP|5797658801915481239</stp>
        <tr r="E377" s="2"/>
      </tp>
      <tp t="s">
        <v>#N/A Requesting Data...3843421097</v>
        <stp/>
        <stp>BDP|2636412706096431417</stp>
        <tr r="H16" s="2"/>
      </tp>
      <tp t="s">
        <v>#N/A Requesting Data...4199911696</v>
        <stp/>
        <stp>BDP|7056441700485827286</stp>
        <tr r="E56" s="2"/>
      </tp>
      <tp t="s">
        <v>#N/A Requesting Data...4114696376</v>
        <stp/>
        <stp>BDP|6155739622582149541</stp>
        <tr r="E313" s="2"/>
      </tp>
      <tp t="s">
        <v>#N/A Requesting Data...4141687685</v>
        <stp/>
        <stp>BDP|8117754083714036724</stp>
        <tr r="Z46" s="1"/>
      </tp>
      <tp t="s">
        <v>#N/A Requesting Data...4245748263</v>
        <stp/>
        <stp>BDP|1264604975034018027</stp>
        <tr r="E379" s="2"/>
      </tp>
      <tp t="s">
        <v>#N/A Requesting Data...4077017508</v>
        <stp/>
        <stp>BDP|6744515536540058457</stp>
        <tr r="H496" s="2"/>
      </tp>
      <tp t="s">
        <v>#N/A Requesting Data...3863359172</v>
        <stp/>
        <stp>BDP|4985290459570768641</stp>
        <tr r="G592" s="2"/>
      </tp>
      <tp t="s">
        <v>#N/A Requesting Data...4078819403</v>
        <stp/>
        <stp>BDP|4840589912335818000</stp>
        <tr r="G558" s="2"/>
      </tp>
      <tp t="s">
        <v>#N/A Requesting Data...4042607577</v>
        <stp/>
        <stp>BDP|5307373358215482329</stp>
        <tr r="Z40" s="1"/>
      </tp>
      <tp t="s">
        <v>#N/A Requesting Data...3804993743</v>
        <stp/>
        <stp>BDP|7836747830741436722</stp>
        <tr r="H319" s="2"/>
      </tp>
      <tp t="s">
        <v>#N/A Requesting Data...4070915494</v>
        <stp/>
        <stp>BDP|8965962592548268552</stp>
        <tr r="G501" s="2"/>
      </tp>
      <tp t="s">
        <v>#N/A Requesting Data...4082502076</v>
        <stp/>
        <stp>BDP|6163650274695824726</stp>
        <tr r="G208" s="2"/>
      </tp>
      <tp t="s">
        <v>#N/A Requesting Data...4158484724</v>
        <stp/>
        <stp>BDP|8530148691871835426</stp>
        <tr r="E480" s="2"/>
      </tp>
      <tp t="s">
        <v>#N/A Requesting Data...3902076283</v>
        <stp/>
        <stp>BDP|6668392023365480736</stp>
        <tr r="F58" s="2"/>
      </tp>
      <tp t="s">
        <v>#N/A Requesting Data...4219450340</v>
        <stp/>
        <stp>BDP|5671736937334812011</stp>
        <tr r="F155" s="2"/>
      </tp>
      <tp t="s">
        <v>#N/A Requesting Data...4063786310</v>
        <stp/>
        <stp>BDP|9144392391715518348</stp>
        <tr r="AB51" s="1"/>
      </tp>
      <tp t="s">
        <v>#N/A Requesting Data...4206941522</v>
        <stp/>
        <stp>BDP|9491911669430447307</stp>
        <tr r="G136" s="2"/>
      </tp>
      <tp t="s">
        <v>#N/A Requesting Data...4135671181</v>
        <stp/>
        <stp>BDP|4405760535530904564</stp>
        <tr r="E143" s="2"/>
      </tp>
      <tp t="s">
        <v>#N/A Requesting Data...4132944440</v>
        <stp/>
        <stp>BDP|2849049340090681324</stp>
        <tr r="G51" s="2"/>
      </tp>
      <tp t="s">
        <v>#N/A Requesting Data...4065758546</v>
        <stp/>
        <stp>BDP|2644818419717326942</stp>
        <tr r="G328" s="2"/>
      </tp>
      <tp t="s">
        <v>#N/A Requesting Data...4014191126</v>
        <stp/>
        <stp>BDP|1941825199870951521</stp>
        <tr r="E573" s="2"/>
      </tp>
      <tp t="s">
        <v>#N/A Requesting Data...4243809515</v>
        <stp/>
        <stp>BDP|7142589855174754625</stp>
        <tr r="E538" s="2"/>
      </tp>
      <tp t="s">
        <v>#N/A Requesting Data...4130100246</v>
        <stp/>
        <stp>BDP|9064963649156291742</stp>
        <tr r="F318" s="2"/>
      </tp>
      <tp t="s">
        <v>#N/A Requesting Data...4184366383</v>
        <stp/>
        <stp>BDP|7664066544904551283</stp>
        <tr r="G439" s="2"/>
      </tp>
      <tp t="s">
        <v>#N/A Requesting Data...4082605814</v>
        <stp/>
        <stp>BDP|6733747276606540594</stp>
        <tr r="H183" s="2"/>
      </tp>
      <tp t="s">
        <v>#N/A Requesting Data...4204496322</v>
        <stp/>
        <stp>BDP|3217102909514277304</stp>
        <tr r="E25" s="2"/>
      </tp>
      <tp t="s">
        <v>#N/A Requesting Data...4085363131</v>
        <stp/>
        <stp>BDP|6287490711417765139</stp>
        <tr r="E548" s="2"/>
      </tp>
      <tp t="s">
        <v>#N/A Requesting Data...4233248348</v>
        <stp/>
        <stp>BDP|4407777150561925247</stp>
        <tr r="F429" s="2"/>
      </tp>
      <tp t="s">
        <v>#N/A Requesting Data...4145868829</v>
        <stp/>
        <stp>BDP|1660939209604366919</stp>
        <tr r="E171" s="2"/>
      </tp>
      <tp t="s">
        <v>#N/A Requesting Data...4037320647</v>
        <stp/>
        <stp>BDP|7675131495289839377</stp>
        <tr r="H32" s="2"/>
      </tp>
      <tp t="s">
        <v>#N/A Requesting Data...3987552144</v>
        <stp/>
        <stp>BDP|6864234344227252220</stp>
        <tr r="E423" s="2"/>
      </tp>
      <tp t="s">
        <v>#N/A Requesting Data...4133223892</v>
        <stp/>
        <stp>BDP|4453711509010084604</stp>
        <tr r="E140" s="2"/>
      </tp>
      <tp t="s">
        <v>#N/A Requesting Data...4261442112</v>
        <stp/>
        <stp>BDP|4328852629942514962</stp>
        <tr r="E454" s="2"/>
      </tp>
      <tp t="s">
        <v>#N/A Requesting Data...3922361147</v>
        <stp/>
        <stp>BDP|2763850476000905816</stp>
        <tr r="G292" s="2"/>
      </tp>
      <tp t="s">
        <v>#N/A Requesting Data...3994770096</v>
        <stp/>
        <stp>BDP|6795383989601386994</stp>
        <tr r="G21" s="2"/>
      </tp>
      <tp t="s">
        <v>#N/A Requesting Data...3984952250</v>
        <stp/>
        <stp>BDP|7764946836299062197</stp>
        <tr r="H341" s="2"/>
      </tp>
      <tp t="s">
        <v>#N/A Requesting Data...3953988442</v>
        <stp/>
        <stp>BDP|4906957000391745972</stp>
        <tr r="AA69" s="1"/>
      </tp>
      <tp t="s">
        <v>#N/A Requesting Data...4104357176</v>
        <stp/>
        <stp>BDP|3677611693730061980</stp>
        <tr r="H520" s="2"/>
      </tp>
      <tp t="s">
        <v>#N/A Requesting Data...3948869793</v>
        <stp/>
        <stp>BDP|7060924437488947004</stp>
        <tr r="F335" s="2"/>
      </tp>
      <tp t="s">
        <v>#N/A Requesting Data...4104712910</v>
        <stp/>
        <stp>BDP|3913901264001982891</stp>
        <tr r="H73" s="2"/>
      </tp>
      <tp t="s">
        <v>#N/A Requesting Data...4271729733</v>
        <stp/>
        <stp>BDP|4277263736821916166</stp>
        <tr r="G573" s="2"/>
      </tp>
      <tp t="s">
        <v>#N/A Requesting Data...4036988196</v>
        <stp/>
        <stp>BDP|4329178239546107512</stp>
        <tr r="E34" s="2"/>
      </tp>
      <tp t="s">
        <v>#N/A Requesting Data...4181171417</v>
        <stp/>
        <stp>BDP|2330109854317285483</stp>
        <tr r="F323" s="2"/>
      </tp>
      <tp t="s">
        <v>#N/A Requesting Data...4241390225</v>
        <stp/>
        <stp>BDP|5392896196632342328</stp>
        <tr r="AA53" s="1"/>
      </tp>
      <tp t="s">
        <v>#N/A Requesting Data...4116086104</v>
        <stp/>
        <stp>BDP|6141952621890525824</stp>
        <tr r="H233" s="2"/>
      </tp>
      <tp t="s">
        <v>#N/A Requesting Data...4230566898</v>
        <stp/>
        <stp>BDP|1998184103187653265</stp>
        <tr r="E532" s="2"/>
      </tp>
      <tp t="s">
        <v>#N/A Requesting Data...4089691816</v>
        <stp/>
        <stp>BDP|6382949195152076102</stp>
        <tr r="H14" s="2"/>
      </tp>
      <tp t="s">
        <v>#N/A Requesting Data...4102251249</v>
        <stp/>
        <stp>BDP|8535073121179807695</stp>
        <tr r="F62" s="2"/>
      </tp>
      <tp t="s">
        <v>#N/A Requesting Data...4003681196</v>
        <stp/>
        <stp>BDP|4590537067610740248</stp>
        <tr r="AA94" s="1"/>
      </tp>
      <tp t="s">
        <v>#N/A Requesting Data...4107014980</v>
        <stp/>
        <stp>BDP|7274947117049304306</stp>
        <tr r="F583" s="2"/>
      </tp>
      <tp t="s">
        <v>#N/A Requesting Data...4293176514</v>
        <stp/>
        <stp>BDP|5756645922311298500</stp>
        <tr r="F56" s="2"/>
      </tp>
      <tp t="s">
        <v>#N/A Requesting Data...3994363064</v>
        <stp/>
        <stp>BDP|4188516374877403438</stp>
        <tr r="E354" s="2"/>
      </tp>
      <tp t="s">
        <v>#N/A Requesting Data...4206065805</v>
        <stp/>
        <stp>BDP|9601681244316962805</stp>
        <tr r="Z16" s="1"/>
      </tp>
      <tp t="s">
        <v>#N/A Requesting Data...4092138935</v>
        <stp/>
        <stp>BDP|7319962401718304344</stp>
        <tr r="E159" s="2"/>
      </tp>
      <tp t="s">
        <v>#N/A Requesting Data...4017633931</v>
        <stp/>
        <stp>BDP|7723605170790742337</stp>
        <tr r="F145" s="2"/>
      </tp>
      <tp t="s">
        <v>#N/A Requesting Data...4091755856</v>
        <stp/>
        <stp>BDP|2735029337810718461</stp>
        <tr r="H89" s="2"/>
      </tp>
      <tp t="s">
        <v>#N/A Requesting Data...4030663739</v>
        <stp/>
        <stp>BDP|2921469526865802424</stp>
        <tr r="E474" s="2"/>
      </tp>
      <tp t="s">
        <v>#N/A Requesting Data...4131575403</v>
        <stp/>
        <stp>BDP|2672415113473459134</stp>
        <tr r="H101" s="2"/>
      </tp>
      <tp t="s">
        <v>#N/A Requesting Data...4067636045</v>
        <stp/>
        <stp>BDP|7645450020786637267</stp>
        <tr r="AB36" s="1"/>
      </tp>
      <tp t="s">
        <v>#N/A Requesting Data...4205529565</v>
        <stp/>
        <stp>BDP|9216483048544384814</stp>
        <tr r="G75" s="2"/>
      </tp>
      <tp t="s">
        <v>#N/A Requesting Data...4044208792</v>
        <stp/>
        <stp>BDP|4304837006458394156</stp>
        <tr r="F356" s="2"/>
      </tp>
      <tp t="s">
        <v>#N/A Requesting Data...4227844027</v>
        <stp/>
        <stp>BDP|5109471316205096005</stp>
        <tr r="E121" s="2"/>
      </tp>
      <tp t="s">
        <v>#N/A Requesting Data...4252065598</v>
        <stp/>
        <stp>BDP|5761776832666037226</stp>
        <tr r="H156" s="2"/>
      </tp>
      <tp t="s">
        <v>#N/A Requesting Data...4194667058</v>
        <stp/>
        <stp>BDP|6142296127866908568</stp>
        <tr r="H456" s="2"/>
      </tp>
      <tp t="s">
        <v>#N/A Requesting Data...4152220207</v>
        <stp/>
        <stp>BDP|7471446940996555459</stp>
        <tr r="AA99" s="1"/>
      </tp>
      <tp t="s">
        <v>#N/A Requesting Data...4255844541</v>
        <stp/>
        <stp>BDP|5675077125284576613</stp>
        <tr r="E85" s="2"/>
      </tp>
      <tp t="s">
        <v>#N/A Requesting Data...4135608076</v>
        <stp/>
        <stp>BDP|7473660347531538118</stp>
        <tr r="F277" s="2"/>
      </tp>
      <tp t="s">
        <v>#N/A Requesting Data...4231433835</v>
        <stp/>
        <stp>BDP|7980531976090858054</stp>
        <tr r="F59" s="2"/>
      </tp>
      <tp t="s">
        <v>#N/A Requesting Data...4218962919</v>
        <stp/>
        <stp>BDP|3241238061423238133</stp>
        <tr r="E257" s="2"/>
      </tp>
      <tp t="s">
        <v>#N/A Requesting Data...4140659875</v>
        <stp/>
        <stp>BDP|4671741940380477278</stp>
        <tr r="G217" s="2"/>
      </tp>
      <tp t="s">
        <v>#N/A Requesting Data...4169317476</v>
        <stp/>
        <stp>BDP|6527751971532877185</stp>
        <tr r="E609" s="2"/>
      </tp>
      <tp t="s">
        <v>#N/A Requesting Data...4137471404</v>
        <stp/>
        <stp>BDP|1630175103192460776</stp>
        <tr r="E541" s="2"/>
      </tp>
      <tp t="s">
        <v>#N/A Requesting Data...4002427994</v>
        <stp/>
        <stp>BDP|3291942723645417876</stp>
        <tr r="E234" s="2"/>
      </tp>
      <tp t="s">
        <v>#N/A Requesting Data...4253580795</v>
        <stp/>
        <stp>BDP|8592933106235418123</stp>
        <tr r="F179" s="2"/>
      </tp>
      <tp t="s">
        <v>#N/A Requesting Data...4139540030</v>
        <stp/>
        <stp>BDP|7280064263724403054</stp>
        <tr r="G356" s="2"/>
      </tp>
      <tp t="s">
        <v>#N/A Requesting Data...4255735601</v>
        <stp/>
        <stp>BDP|6570696633176071092</stp>
        <tr r="AB77" s="1"/>
      </tp>
      <tp t="s">
        <v>#N/A Requesting Data...4287142008</v>
        <stp/>
        <stp>BDP|1181351218645836335</stp>
        <tr r="AA32" s="1"/>
      </tp>
      <tp t="s">
        <v>#N/A Requesting Data...4105558834</v>
        <stp/>
        <stp>BDP|1173529218537862745</stp>
        <tr r="F347" s="2"/>
      </tp>
      <tp t="s">
        <v>#N/A Requesting Data...4206011798</v>
        <stp/>
        <stp>BDP|1335324123045477011</stp>
        <tr r="H121" s="2"/>
      </tp>
      <tp t="s">
        <v>#N/A Requesting Data...4111305502</v>
        <stp/>
        <stp>BDP|5087181764831338683</stp>
        <tr r="H173" s="2"/>
      </tp>
      <tp t="s">
        <v>#N/A Requesting Data...4140075908</v>
        <stp/>
        <stp>BDP|3445710660546408162</stp>
        <tr r="G17" s="2"/>
      </tp>
      <tp t="s">
        <v>#N/A Requesting Data...4215689548</v>
        <stp/>
        <stp>BDP|6740455406497176021</stp>
        <tr r="G185" s="2"/>
      </tp>
      <tp t="s">
        <v>#N/A Requesting Data...4000379446</v>
        <stp/>
        <stp>BDP|8778368799466859179</stp>
        <tr r="G322" s="2"/>
      </tp>
      <tp t="s">
        <v>#N/A Requesting Data...4070896338</v>
        <stp/>
        <stp>BDP|4669885813311934902</stp>
        <tr r="AA41" s="1"/>
      </tp>
      <tp t="s">
        <v>#N/A Requesting Data...4180600786</v>
        <stp/>
        <stp>BDP|7275464110151004603</stp>
        <tr r="E511" s="2"/>
      </tp>
      <tp t="s">
        <v>#N/A Requesting Data...4191702707</v>
        <stp/>
        <stp>BDP|2710443962305477015</stp>
        <tr r="F377" s="2"/>
      </tp>
      <tp t="s">
        <v>#N/A Requesting Data...4001173670</v>
        <stp/>
        <stp>BDP|1210268676961265044</stp>
        <tr r="AA43" s="1"/>
      </tp>
      <tp t="s">
        <v>#N/A Requesting Data...4198339696</v>
        <stp/>
        <stp>BDP|6647441255047616553</stp>
        <tr r="F52" s="2"/>
      </tp>
      <tp t="s">
        <v>#N/A Requesting Data...4046006372</v>
        <stp/>
        <stp>BDP|9104144943991331803</stp>
        <tr r="G624" s="2"/>
      </tp>
      <tp t="s">
        <v>#N/A Requesting Data...4112301659</v>
        <stp/>
        <stp>BDP|6890252761051175680</stp>
        <tr r="F127" s="2"/>
      </tp>
      <tp t="s">
        <v>#N/A Requesting Data...4200576395</v>
        <stp/>
        <stp>BDP|1706093017665476083</stp>
        <tr r="E567" s="2"/>
      </tp>
      <tp t="s">
        <v>#N/A Requesting Data...4172147204</v>
        <stp/>
        <stp>BDP|4233871286127053666</stp>
        <tr r="G353" s="2"/>
      </tp>
      <tp t="s">
        <v>#N/A Requesting Data...4127528589</v>
        <stp/>
        <stp>BDP|5717725661218258930</stp>
        <tr r="G200" s="2"/>
      </tp>
      <tp t="s">
        <v>#N/A Requesting Data...4086540627</v>
        <stp/>
        <stp>BDP|7144401073562252350</stp>
        <tr r="H451" s="2"/>
      </tp>
      <tp t="s">
        <v>#N/A Requesting Data...4093144412</v>
        <stp/>
        <stp>BDP|1156013330615748222</stp>
        <tr r="F618" s="2"/>
      </tp>
      <tp t="s">
        <v>#N/A Requesting Data...4176901272</v>
        <stp/>
        <stp>BDP|1115375619612318768</stp>
        <tr r="E273" s="2"/>
      </tp>
      <tp t="s">
        <v>#N/A Requesting Data...4112277186</v>
        <stp/>
        <stp>BDP|2028584626684369777</stp>
        <tr r="H133" s="2"/>
      </tp>
      <tp t="s">
        <v>#N/A Requesting Data...4267432251</v>
        <stp/>
        <stp>BDP|8167312876382518893</stp>
        <tr r="H3" s="2"/>
      </tp>
      <tp t="s">
        <v>#N/A Requesting Data...4115732122</v>
        <stp/>
        <stp>BDP|9342323342261034991</stp>
        <tr r="F426" s="2"/>
      </tp>
      <tp t="s">
        <v>#N/A Requesting Data...4115626086</v>
        <stp/>
        <stp>BDP|7968025635003099153</stp>
        <tr r="AB65" s="1"/>
      </tp>
      <tp t="s">
        <v>#N/A Requesting Data...4032393388</v>
        <stp/>
        <stp>BDP|3418184917380502557</stp>
        <tr r="H316" s="2"/>
      </tp>
      <tp t="s">
        <v>#N/A Requesting Data...4086743733</v>
        <stp/>
        <stp>BDP|9722580787565463773</stp>
        <tr r="F601" s="2"/>
      </tp>
      <tp t="s">
        <v>#N/A Requesting Data...4053362122</v>
        <stp/>
        <stp>BDP|3168651569955752019</stp>
        <tr r="E578" s="2"/>
      </tp>
      <tp t="s">
        <v>#N/A Requesting Data...4081599268</v>
        <stp/>
        <stp>BDP|4700862757896942976</stp>
        <tr r="H440" s="2"/>
      </tp>
      <tp t="s">
        <v>#N/A Requesting Data...4024695942</v>
        <stp/>
        <stp>BDP|2383774548221770634</stp>
        <tr r="E269" s="2"/>
      </tp>
      <tp t="s">
        <v>#N/A Requesting Data...4283086040</v>
        <stp/>
        <stp>BDP|6033354961195530099</stp>
        <tr r="H118" s="2"/>
      </tp>
      <tp t="s">
        <v>#N/A Requesting Data...4152090923</v>
        <stp/>
        <stp>BDP|6195855469538275678</stp>
        <tr r="E235" s="2"/>
      </tp>
      <tp t="s">
        <v>#N/A Requesting Data...4039017970</v>
        <stp/>
        <stp>BDP|1958601762864425378</stp>
        <tr r="F271" s="2"/>
      </tp>
      <tp t="s">
        <v>#N/A Requesting Data...4228945787</v>
        <stp/>
        <stp>BDP|6397245624634206481</stp>
        <tr r="H285" s="2"/>
      </tp>
      <tp t="s">
        <v>#N/A Requesting Data...4162497730</v>
        <stp/>
        <stp>BDP|4416503933760869462</stp>
        <tr r="E2" s="2"/>
        <tr r="E27" s="2"/>
      </tp>
      <tp t="s">
        <v>#N/A Requesting Data...4267304232</v>
        <stp/>
        <stp>BDP|6937322464775656007</stp>
        <tr r="H329" s="2"/>
      </tp>
      <tp t="s">
        <v>#N/A Requesting Data...4091907262</v>
        <stp/>
        <stp>BDP|1297531903367992526</stp>
        <tr r="E129" s="2"/>
      </tp>
      <tp t="s">
        <v>#N/A Requesting Data...4143128852</v>
        <stp/>
        <stp>BDP|5715676147038951908</stp>
        <tr r="H29" s="2"/>
      </tp>
      <tp t="s">
        <v>#N/A Requesting Data...4089885877</v>
        <stp/>
        <stp>BDP|1828218675574169634</stp>
        <tr r="F279" s="2"/>
      </tp>
      <tp t="s">
        <v>#N/A Requesting Data...4188455982</v>
        <stp/>
        <stp>BDP|4184399520204069765</stp>
        <tr r="G7" s="2"/>
      </tp>
      <tp t="s">
        <v>#N/A Requesting Data...4286503072</v>
        <stp/>
        <stp>BDP|3673827216138525496</stp>
        <tr r="AA5" s="1"/>
      </tp>
      <tp t="s">
        <v>#N/A Requesting Data...4062003737</v>
        <stp/>
        <stp>BDP|8426183996014025247</stp>
        <tr r="E324" s="2"/>
      </tp>
      <tp t="s">
        <v>#N/A Requesting Data...4088243030</v>
        <stp/>
        <stp>BDP|4248618472460998366</stp>
        <tr r="E187" s="2"/>
      </tp>
      <tp t="s">
        <v>#N/A Requesting Data...4151067419</v>
        <stp/>
        <stp>BDP|7751022755993610797</stp>
        <tr r="G48" s="2"/>
      </tp>
      <tp t="s">
        <v>#N/A Requesting Data...4195431548</v>
        <stp/>
        <stp>BDP|6282743458225577741</stp>
        <tr r="E279" s="2"/>
      </tp>
      <tp t="s">
        <v>#N/A Requesting Data...4166044254</v>
        <stp/>
        <stp>BDP|8559369693220819471</stp>
        <tr r="G420" s="2"/>
      </tp>
      <tp t="s">
        <v>#N/A Requesting Data...4294461651</v>
        <stp/>
        <stp>BDP|6287681209522993454</stp>
        <tr r="F427" s="2"/>
      </tp>
      <tp t="s">
        <v>#N/A Requesting Data...4042525465</v>
        <stp/>
        <stp>BDP|7365012339514393679</stp>
        <tr r="F545" s="2"/>
      </tp>
      <tp t="s">
        <v>#N/A Requesting Data...4081685300</v>
        <stp/>
        <stp>BDP|6493254342265476389</stp>
        <tr r="F238" s="2"/>
      </tp>
      <tp t="s">
        <v>#N/A Requesting Data...4177327523</v>
        <stp/>
        <stp>BDP|4394868287906907449</stp>
        <tr r="G230" s="2"/>
      </tp>
      <tp t="s">
        <v>#N/A Requesting Data...4076223247</v>
        <stp/>
        <stp>BDP|2317082144797016706</stp>
        <tr r="F367" s="2"/>
      </tp>
      <tp t="s">
        <v>#N/A Requesting Data...4107825786</v>
        <stp/>
        <stp>BDP|8259316880191965450</stp>
        <tr r="G22" s="2"/>
        <tr r="G46" s="2"/>
      </tp>
      <tp t="s">
        <v>#N/A Requesting Data...4221372658</v>
        <stp/>
        <stp>BDP|3477328993678970738</stp>
        <tr r="G4" s="2"/>
      </tp>
      <tp t="s">
        <v>#N/A Requesting Data...4188119714</v>
        <stp/>
        <stp>BDP|3051112946658288892</stp>
        <tr r="G403" s="2"/>
      </tp>
      <tp t="s">
        <v>#N/A Requesting Data...4254880430</v>
        <stp/>
        <stp>BDP|8984071691706737146</stp>
        <tr r="H280" s="2"/>
      </tp>
      <tp t="s">
        <v>#N/A Requesting Data...4293097785</v>
        <stp/>
        <stp>BDP|1729338474587959456</stp>
        <tr r="AA68" s="1"/>
      </tp>
      <tp t="s">
        <v>#N/A Requesting Data...4202516860</v>
        <stp/>
        <stp>BDP|9644365579529029259</stp>
        <tr r="AA71" s="1"/>
      </tp>
      <tp t="s">
        <v>#N/A Requesting Data...4074531376</v>
        <stp/>
        <stp>BDP|1215493122566771723</stp>
        <tr r="G490" s="2"/>
      </tp>
      <tp t="s">
        <v>#N/A Requesting Data...4136841861</v>
        <stp/>
        <stp>BDP|6459340919865395767</stp>
        <tr r="H17" s="2"/>
      </tp>
      <tp t="s">
        <v>#N/A Requesting Data...4115611694</v>
        <stp/>
        <stp>BDP|8633686183486746661</stp>
        <tr r="E266" s="2"/>
      </tp>
      <tp t="s">
        <v>#N/A Requesting Data...4277307887</v>
        <stp/>
        <stp>BDP|6824672789338969633</stp>
        <tr r="G537" s="2"/>
      </tp>
      <tp t="s">
        <v>#N/A Requesting Data...4096500760</v>
        <stp/>
        <stp>BDP|8501478603759517396</stp>
        <tr r="E22" s="2"/>
        <tr r="E46" s="2"/>
      </tp>
      <tp t="s">
        <v>#N/A Requesting Data...4104016239</v>
        <stp/>
        <stp>BDP|1353888590107367157</stp>
        <tr r="G525" s="2"/>
      </tp>
      <tp t="s">
        <v>#N/A Requesting Data...4197793640</v>
        <stp/>
        <stp>BDP|1516984238249822409</stp>
        <tr r="H35" s="2"/>
      </tp>
      <tp t="s">
        <v>#N/A Requesting Data...4130534259</v>
        <stp/>
        <stp>BDP|3028794422567774718</stp>
        <tr r="E30" s="2"/>
      </tp>
      <tp t="s">
        <v>#N/A Requesting Data...4230777218</v>
        <stp/>
        <stp>BDP|8612183967979142053</stp>
        <tr r="H510" s="2"/>
      </tp>
      <tp t="s">
        <v>#N/A Requesting Data...4105232455</v>
        <stp/>
        <stp>BDP|7918458906403682617</stp>
        <tr r="E297" s="2"/>
      </tp>
      <tp t="s">
        <v>#N/A Requesting Data...4121394644</v>
        <stp/>
        <stp>BDP|3223133448491290168</stp>
        <tr r="E580" s="2"/>
      </tp>
      <tp t="s">
        <v>#N/A Requesting Data...4202706584</v>
        <stp/>
        <stp>BDP|6061366795332227839</stp>
        <tr r="G470" s="2"/>
      </tp>
      <tp t="s">
        <v>#N/A Requesting Data...4147737069</v>
        <stp/>
        <stp>BDP|4088577426095718045</stp>
        <tr r="G539" s="2"/>
      </tp>
      <tp t="s">
        <v>#N/A Requesting Data...4105749955</v>
        <stp/>
        <stp>BDP|3573237243175797607</stp>
        <tr r="E611" s="2"/>
      </tp>
      <tp t="s">
        <v>#N/A Requesting Data...4122517790</v>
        <stp/>
        <stp>BDP|3579457322225556656</stp>
        <tr r="G409" s="2"/>
      </tp>
      <tp t="s">
        <v>#N/A Requesting Data...4134790046</v>
        <stp/>
        <stp>BDP|7756497147012207397</stp>
        <tr r="E136" s="2"/>
      </tp>
      <tp t="s">
        <v>#N/A Requesting Data...4202470576</v>
        <stp/>
        <stp>BDP|6282405780598271428</stp>
        <tr r="Z31" s="1"/>
      </tp>
      <tp t="s">
        <v>#N/A Requesting Data...4286408260</v>
        <stp/>
        <stp>BDP|5541383223904598690</stp>
        <tr r="E588" s="2"/>
      </tp>
      <tp t="s">
        <v>#N/A Requesting Data...4260502820</v>
        <stp/>
        <stp>BDP|8013821177267593634</stp>
        <tr r="E3" s="2"/>
      </tp>
      <tp t="s">
        <v>#N/A Requesting Data...4100685267</v>
        <stp/>
        <stp>BDP|5512557912400376722</stp>
        <tr r="E100" s="2"/>
      </tp>
      <tp t="s">
        <v>#N/A Requesting Data...4150657809</v>
        <stp/>
        <stp>BDP|9700820034453746769</stp>
        <tr r="H563" s="2"/>
      </tp>
      <tp t="s">
        <v>#N/A Requesting Data...4161226222</v>
        <stp/>
        <stp>BDP|4185218497189382045</stp>
        <tr r="AB76" s="1"/>
      </tp>
      <tp t="s">
        <v>#N/A Requesting Data...4083846717</v>
        <stp/>
        <stp>BDP|3544349302480449673</stp>
        <tr r="F345" s="2"/>
      </tp>
      <tp t="s">
        <v>#N/A Requesting Data...4284764618</v>
        <stp/>
        <stp>BDP|8209833945330783236</stp>
        <tr r="E347" s="2"/>
      </tp>
      <tp t="s">
        <v>#N/A Requesting Data...4137205751</v>
        <stp/>
        <stp>BDP|5334884777348511494</stp>
        <tr r="AB39" s="1"/>
      </tp>
      <tp t="s">
        <v>#N/A Requesting Data...4221585974</v>
        <stp/>
        <stp>BDP|7483678406402111545</stp>
        <tr r="G377" s="2"/>
      </tp>
      <tp t="s">
        <v>#N/A Requesting Data...4151323232</v>
        <stp/>
        <stp>BDP|7033803493578376806</stp>
        <tr r="H220" s="2"/>
      </tp>
      <tp t="s">
        <v>#N/A Requesting Data...4182285800</v>
        <stp/>
        <stp>BDP|4467308730952688035</stp>
        <tr r="AA66" s="1"/>
      </tp>
      <tp t="s">
        <v>#N/A Requesting Data...4285763827</v>
        <stp/>
        <stp>BDP|1144803982950485769</stp>
        <tr r="G580" s="2"/>
      </tp>
      <tp t="s">
        <v>#N/A Requesting Data...4268513463</v>
        <stp/>
        <stp>BDP|2405850383430476472</stp>
        <tr r="E458" s="2"/>
      </tp>
      <tp t="s">
        <v>#N/A Requesting Data...4155025114</v>
        <stp/>
        <stp>BDP|3135733434179225856</stp>
        <tr r="F12" s="2"/>
      </tp>
      <tp t="s">
        <v>#N/A Requesting Data...4130549786</v>
        <stp/>
        <stp>BDP|2659466796238339146</stp>
        <tr r="E19" s="2"/>
      </tp>
      <tp t="s">
        <v>#N/A Requesting Data...4241279876</v>
        <stp/>
        <stp>BDP|3955097298738111480</stp>
        <tr r="E256" s="2"/>
      </tp>
      <tp t="s">
        <v>#N/A Requesting Data...4134976609</v>
        <stp/>
        <stp>BDP|2296726235461204110</stp>
        <tr r="H375" s="2"/>
      </tp>
      <tp t="s">
        <v>#N/A Requesting Data...4102673711</v>
        <stp/>
        <stp>BDP|1030701771502164562</stp>
        <tr r="G52" s="2"/>
      </tp>
      <tp t="s">
        <v>#N/A Requesting Data...4129925182</v>
        <stp/>
        <stp>BDP|2004622676422169733</stp>
        <tr r="G383" s="2"/>
      </tp>
      <tp t="s">
        <v>#N/A Requesting Data...4264254194</v>
        <stp/>
        <stp>BDP|7883679320020147587</stp>
        <tr r="F423" s="2"/>
      </tp>
      <tp t="s">
        <v>#N/A Requesting Data...4086231984</v>
        <stp/>
        <stp>BDP|8079653697681537009</stp>
        <tr r="F230" s="2"/>
      </tp>
      <tp t="s">
        <v>#N/A Requesting Data...4270414258</v>
        <stp/>
        <stp>BDP|2587485707385841552</stp>
        <tr r="E452" s="2"/>
      </tp>
      <tp t="s">
        <v>#N/A Requesting Data...4214677677</v>
        <stp/>
        <stp>BDP|5219415582796614908</stp>
        <tr r="H232" s="2"/>
      </tp>
      <tp t="s">
        <v>#N/A Requesting Data...4188909652</v>
        <stp/>
        <stp>BDP|7544786670968916930</stp>
        <tr r="E619" s="2"/>
      </tp>
      <tp t="s">
        <v>#N/A Requesting Data...4097795241</v>
        <stp/>
        <stp>BDP|1171665527066085577</stp>
        <tr r="AA10" s="1"/>
      </tp>
      <tp t="s">
        <v>#N/A Requesting Data...4241304296</v>
        <stp/>
        <stp>BDP|6446349462402304767</stp>
        <tr r="E384" s="2"/>
      </tp>
      <tp t="s">
        <v>#N/A Requesting Data...4219432068</v>
        <stp/>
        <stp>BDP|2158752735661255141</stp>
        <tr r="H132" s="2"/>
      </tp>
      <tp t="s">
        <v>#N/A Requesting Data...4283687664</v>
        <stp/>
        <stp>BDP|8342017137905783860</stp>
        <tr r="G125" s="2"/>
      </tp>
      <tp t="s">
        <v>#N/A Requesting Data...4109137546</v>
        <stp/>
        <stp>BDP|8351870247110467236</stp>
        <tr r="H296" s="2"/>
      </tp>
      <tp t="s">
        <v>#N/A Requesting Data...4122858570</v>
        <stp/>
        <stp>BDP|3299589955000284580</stp>
        <tr r="E272" s="2"/>
      </tp>
      <tp t="s">
        <v>#N/A Requesting Data...4129506491</v>
        <stp/>
        <stp>BDP|5117571112813552447</stp>
        <tr r="F501" s="2"/>
      </tp>
      <tp t="s">
        <v>#N/A Requesting Data...4222958232</v>
        <stp/>
        <stp>BDP|3725173655116282722</stp>
        <tr r="G521" s="2"/>
      </tp>
      <tp t="s">
        <v>#N/A Requesting Data...4108259404</v>
        <stp/>
        <stp>BDP|2439783911826113497</stp>
        <tr r="F15" s="2"/>
      </tp>
      <tp t="s">
        <v>#N/A Requesting Data...4214390069</v>
        <stp/>
        <stp>BDP|4576201286479523133</stp>
        <tr r="Z92" s="1"/>
      </tp>
      <tp t="s">
        <v>#N/A Requesting Data...4277194580</v>
        <stp/>
        <stp>BDP|6261735244455766673</stp>
        <tr r="F552" s="2"/>
      </tp>
      <tp t="s">
        <v>#N/A Requesting Data...4276261700</v>
        <stp/>
        <stp>BDP|3976876115109976572</stp>
        <tr r="H38" s="2"/>
      </tp>
      <tp t="s">
        <v>#N/A Requesting Data...4109788665</v>
        <stp/>
        <stp>BDP|6492914289307468725</stp>
        <tr r="E387" s="2"/>
      </tp>
      <tp t="s">
        <v>#N/A Requesting Data...4285546346</v>
        <stp/>
        <stp>BDP|8558994469203955367</stp>
        <tr r="F236" s="2"/>
      </tp>
      <tp t="s">
        <v>#N/A Requesting Data...4144625804</v>
        <stp/>
        <stp>BDP|6450236481418570390</stp>
        <tr r="E162" s="2"/>
      </tp>
      <tp t="s">
        <v>#N/A Requesting Data...4219004251</v>
        <stp/>
        <stp>BDP|9537965347706607581</stp>
        <tr r="G287" s="2"/>
      </tp>
      <tp t="s">
        <v>#N/A Requesting Data...4207009196</v>
        <stp/>
        <stp>BDP|7054928895873945347</stp>
        <tr r="G11" s="2"/>
      </tp>
      <tp t="s">
        <v>#N/A Requesting Data...4282225114</v>
        <stp/>
        <stp>BDP|4047815730029372198</stp>
        <tr r="F602" s="2"/>
      </tp>
      <tp t="s">
        <v>#N/A Requesting Data...4173652088</v>
        <stp/>
        <stp>BDP|7300159055035869109</stp>
        <tr r="Z102" s="1"/>
      </tp>
      <tp t="s">
        <v>#N/A Requesting Data...4223181334</v>
        <stp/>
        <stp>BDP|8832552192944323742</stp>
        <tr r="E516" s="2"/>
      </tp>
      <tp t="s">
        <v>#N/A Requesting Data...4124852834</v>
        <stp/>
        <stp>BDP|3300734621050979109</stp>
        <tr r="F504" s="2"/>
      </tp>
      <tp t="s">
        <v>#N/A Requesting Data...4122991107</v>
        <stp/>
        <stp>BDP|5818467419972951560</stp>
        <tr r="H548" s="2"/>
      </tp>
      <tp t="s">
        <v>#N/A Requesting Data...4140022608</v>
        <stp/>
        <stp>BDP|3424682136725079421</stp>
        <tr r="F250" s="2"/>
      </tp>
      <tp t="s">
        <v>#N/A Requesting Data...4123577072</v>
        <stp/>
        <stp>BDP|5865740348105942450</stp>
        <tr r="G574" s="2"/>
      </tp>
      <tp t="s">
        <v>#N/A Requesting Data...4278389543</v>
        <stp/>
        <stp>BDP|6170166418122400333</stp>
        <tr r="H500" s="2"/>
      </tp>
      <tp t="s">
        <v>#N/A Requesting Data...4160878806</v>
        <stp/>
        <stp>BDP|8139663883661963055</stp>
        <tr r="E331" s="2"/>
      </tp>
      <tp t="s">
        <v>#N/A Requesting Data...4276262779</v>
        <stp/>
        <stp>BDP|7343100504125619491</stp>
        <tr r="H123" s="2"/>
      </tp>
      <tp t="s">
        <v>#N/A Requesting Data...4160565458</v>
        <stp/>
        <stp>BDP|4586357331267825418</stp>
        <tr r="F610" s="2"/>
      </tp>
      <tp t="s">
        <v>#N/A Requesting Data...4146584436</v>
        <stp/>
        <stp>BDP|1425539900771897273</stp>
        <tr r="H501" s="2"/>
      </tp>
      <tp t="s">
        <v>#N/A Requesting Data...4207363839</v>
        <stp/>
        <stp>BDP|9647259611499339489</stp>
        <tr r="G444" s="2"/>
      </tp>
      <tp t="s">
        <v>#N/A Requesting Data...4164721762</v>
        <stp/>
        <stp>BDP|9773446481513532194</stp>
        <tr r="E104" s="2"/>
      </tp>
      <tp t="s">
        <v>#N/A Requesting Data...4119137188</v>
        <stp/>
        <stp>BDP|9870258189177994334</stp>
        <tr r="H599" s="2"/>
      </tp>
      <tp t="s">
        <v>#N/A Requesting Data...4214538167</v>
        <stp/>
        <stp>BDP|3082774459554407256</stp>
        <tr r="E5" s="2"/>
      </tp>
      <tp t="s">
        <v>#N/A Requesting Data...4235785925</v>
        <stp/>
        <stp>BDP|5028892937158781168</stp>
        <tr r="H475" s="2"/>
      </tp>
      <tp t="s">
        <v>#N/A Requesting Data...4175541141</v>
        <stp/>
        <stp>BDP|5854975701772290939</stp>
        <tr r="G508" s="2"/>
      </tp>
      <tp t="s">
        <v>#N/A Requesting Data...4275617259</v>
        <stp/>
        <stp>BDP|4221632830174951273</stp>
        <tr r="AB85" s="1"/>
      </tp>
      <tp t="s">
        <v>#N/A Requesting Data...4157417425</v>
        <stp/>
        <stp>BDP|7198707639342267661</stp>
        <tr r="G236" s="2"/>
      </tp>
      <tp t="s">
        <v>#N/A Requesting Data...4125460101</v>
        <stp/>
        <stp>BDP|1344538223839929867</stp>
        <tr r="G270" s="2"/>
      </tp>
      <tp t="s">
        <v>#N/A Requesting Data...4237145716</v>
        <stp/>
        <stp>BDP|5927127636937144708</stp>
        <tr r="AA57" s="1"/>
      </tp>
      <tp t="s">
        <v>#N/A Requesting Data...4167770251</v>
        <stp/>
        <stp>BDP|7235046200351214187</stp>
        <tr r="F493" s="2"/>
      </tp>
      <tp t="s">
        <v>#N/A Requesting Data...4254150253</v>
        <stp/>
        <stp>BDP|2808862176888182249</stp>
        <tr r="H61" s="2"/>
      </tp>
      <tp t="s">
        <v>#N/A Requesting Data...4127128051</v>
        <stp/>
        <stp>BDP|4527798270717329420</stp>
        <tr r="E16" s="2"/>
      </tp>
      <tp t="s">
        <v>#N/A Requesting Data...4165759067</v>
        <stp/>
        <stp>BDP|5832220712935020456</stp>
        <tr r="G534" s="2"/>
      </tp>
      <tp t="s">
        <v>#N/A Requesting Data...4199078593</v>
        <stp/>
        <stp>BDP|8264823094218803619</stp>
        <tr r="H62" s="2"/>
      </tp>
      <tp t="s">
        <v>#N/A Requesting Data...4184387186</v>
        <stp/>
        <stp>BDP|6520527143200141080</stp>
        <tr r="F435" s="2"/>
      </tp>
      <tp t="s">
        <v>#N/A Requesting Data...4137609181</v>
        <stp/>
        <stp>BDP|9875765366556043950</stp>
        <tr r="H161" s="2"/>
      </tp>
      <tp t="s">
        <v>#N/A Requesting Data...4175158514</v>
        <stp/>
        <stp>BDP|6911341062707225300</stp>
        <tr r="E24" s="2"/>
      </tp>
      <tp t="s">
        <v>#N/A Requesting Data...4284015327</v>
        <stp/>
        <stp>BDP|7416415618093687697</stp>
        <tr r="G87" s="2"/>
      </tp>
      <tp t="s">
        <v>#N/A Requesting Data...4192180916</v>
        <stp/>
        <stp>BDP|4555446204131592624</stp>
        <tr r="G38" s="2"/>
      </tp>
      <tp t="s">
        <v>#N/A Requesting Data...4231444360</v>
        <stp/>
        <stp>BDP|7096409221695027335</stp>
        <tr r="F310" s="2"/>
      </tp>
      <tp t="s">
        <v>#N/A Requesting Data...4170600923</v>
        <stp/>
        <stp>BDP|2390423612921989192</stp>
        <tr r="G338" s="2"/>
      </tp>
      <tp t="s">
        <v>#N/A Requesting Data...4136102141</v>
        <stp/>
        <stp>BDP|9730920788888960774</stp>
        <tr r="F524" s="2"/>
      </tp>
      <tp t="s">
        <v>#N/A Requesting Data...4152568479</v>
        <stp/>
        <stp>BDP|4259985499261491242</stp>
        <tr r="AA7" s="1"/>
      </tp>
      <tp t="s">
        <v>#N/A Requesting Data...4159638293</v>
        <stp/>
        <stp>BDP|5605777026493093447</stp>
        <tr r="AB102" s="1"/>
      </tp>
      <tp t="s">
        <v>#N/A Requesting Data...4231551754</v>
        <stp/>
        <stp>BDP|5873229687148645087</stp>
        <tr r="G484" s="2"/>
      </tp>
      <tp t="s">
        <v>#N/A Requesting Data...4176603852</v>
        <stp/>
        <stp>BDP|6304018636317013575</stp>
        <tr r="F100" s="2"/>
      </tp>
      <tp t="s">
        <v>#N/A Requesting Data...4161433020</v>
        <stp/>
        <stp>BDP|7360416534691136644</stp>
        <tr r="F430" s="2"/>
      </tp>
      <tp t="s">
        <v>#N/A Requesting Data...4280925339</v>
        <stp/>
        <stp>BDP|9816657266789096789</stp>
        <tr r="H41" s="2"/>
      </tp>
      <tp t="s">
        <v>#N/A Requesting Data...4145218246</v>
        <stp/>
        <stp>BDP|1850854697027973002</stp>
        <tr r="E69" s="2"/>
      </tp>
      <tp t="s">
        <v>#N/A Requesting Data...4183952211</v>
        <stp/>
        <stp>BDP|8932333681224876002</stp>
        <tr r="G561" s="2"/>
      </tp>
      <tp t="s">
        <v>#N/A Requesting Data...4178504174</v>
        <stp/>
        <stp>BDP|7357481369542624048</stp>
        <tr r="G533" s="2"/>
      </tp>
      <tp t="s">
        <v>#N/A Requesting Data...4288236718</v>
        <stp/>
        <stp>BDP|6553809986239251811</stp>
        <tr r="H69" s="2"/>
      </tp>
      <tp t="s">
        <v>#N/A Requesting Data...4240974426</v>
        <stp/>
        <stp>BDP|4902549424925849119</stp>
        <tr r="G500" s="2"/>
      </tp>
      <tp t="s">
        <v>#N/A Requesting Data...4293486712</v>
        <stp/>
        <stp>BDP|4410078895933195974</stp>
        <tr r="E583" s="2"/>
      </tp>
      <tp t="s">
        <v>#N/A Requesting Data...4149878755</v>
        <stp/>
        <stp>BDP|9677267611255195807</stp>
        <tr r="F574" s="2"/>
      </tp>
      <tp t="s">
        <v>#N/A Requesting Data...4241711494</v>
        <stp/>
        <stp>BDP|8302941645041534371</stp>
        <tr r="H433" s="2"/>
      </tp>
      <tp t="s">
        <v>#N/A Requesting Data...4188582641</v>
        <stp/>
        <stp>BDP|9613054026234551801</stp>
        <tr r="AB99" s="1"/>
      </tp>
      <tp t="s">
        <v>#N/A Requesting Data...4216632091</v>
        <stp/>
        <stp>BDP|2117190103450860431</stp>
        <tr r="E134" s="2"/>
      </tp>
      <tp t="s">
        <v>#N/A Requesting Data...4285888114</v>
        <stp/>
        <stp>BDP|2085678291393710914</stp>
        <tr r="H308" s="2"/>
      </tp>
      <tp t="s">
        <v>#N/A Requesting Data...4179946795</v>
        <stp/>
        <stp>BDP|1221453850977688008</stp>
        <tr r="E401" s="2"/>
      </tp>
      <tp t="s">
        <v>#N/A Requesting Data...4179640393</v>
        <stp/>
        <stp>BDP|7616973984916723734</stp>
        <tr r="E230" s="2"/>
      </tp>
      <tp t="s">
        <v>#N/A Requesting Data...4252897304</v>
        <stp/>
        <stp>BDP|2854420679732360415</stp>
        <tr r="F603" s="2"/>
      </tp>
      <tp t="s">
        <v>#N/A Requesting Data...4175694690</v>
        <stp/>
        <stp>BDP|5599307555381059519</stp>
        <tr r="E18" s="2"/>
        <tr r="E45" s="2"/>
      </tp>
      <tp t="s">
        <v>#N/A Requesting Data...4218197545</v>
        <stp/>
        <stp>BDP|9682972311653819599</stp>
        <tr r="F589" s="2"/>
      </tp>
      <tp t="s">
        <v>#N/A Requesting Data...4270555898</v>
        <stp/>
        <stp>BDP|7844571889579760475</stp>
        <tr r="Z79" s="1"/>
      </tp>
      <tp t="s">
        <v>#N/A Requesting Data...4249331686</v>
        <stp/>
        <stp>BDP|1020274378156911504</stp>
        <tr r="Z78" s="1"/>
      </tp>
      <tp t="s">
        <v>#N/A Requesting Data...4211336869</v>
        <stp/>
        <stp>BDP|8781136392767640068</stp>
        <tr r="AA79" s="1"/>
      </tp>
      <tp t="s">
        <v>#N/A Requesting Data...4195097634</v>
        <stp/>
        <stp>BDP|3385050374846445501</stp>
        <tr r="H191" s="2"/>
      </tp>
      <tp t="s">
        <v>#N/A Requesting Data...4195938156</v>
        <stp/>
        <stp>BDP|9376487057587372888</stp>
        <tr r="AA33" s="1"/>
      </tp>
      <tp t="s">
        <v>#N/A Requesting Data...4231384667</v>
        <stp/>
        <stp>BDP|7092459325353543524</stp>
        <tr r="G201" s="2"/>
      </tp>
      <tp t="s">
        <v>#N/A Requesting Data...4237502267</v>
        <stp/>
        <stp>BDP|2908913149979583137</stp>
        <tr r="F203" s="2"/>
      </tp>
      <tp t="s">
        <v>#N/A Requesting Data...4230463972</v>
        <stp/>
        <stp>BDP|6014996470527530888</stp>
        <tr r="F288" s="2"/>
      </tp>
      <tp t="s">
        <v>#N/A Requesting Data...4198920395</v>
        <stp/>
        <stp>BDP|6630747585348169629</stp>
        <tr r="H490" s="2"/>
      </tp>
      <tp t="s">
        <v>#N/A Requesting Data...4240089580</v>
        <stp/>
        <stp>BDP|7857215829843440304</stp>
        <tr r="E114" s="2"/>
      </tp>
      <tp t="s">
        <v>#N/A Requesting Data...4196767010</v>
        <stp/>
        <stp>BDP|2096560015905492438</stp>
        <tr r="F439" s="2"/>
      </tp>
      <tp t="s">
        <v>#N/A Requesting Data...4290518240</v>
        <stp/>
        <stp>BDP|4379284118344430430</stp>
        <tr r="E557" s="2"/>
      </tp>
      <tp t="s">
        <v>#N/A Requesting Data...4231459054</v>
        <stp/>
        <stp>BDP|7688201046456735025</stp>
        <tr r="Z55" s="1"/>
      </tp>
      <tp t="s">
        <v>#N/A Requesting Data...4223911344</v>
        <stp/>
        <stp>BDP|3697701851020720656</stp>
        <tr r="E84" s="2"/>
      </tp>
      <tp t="s">
        <v>#N/A Requesting Data...4218841781</v>
        <stp/>
        <stp>BDP|1487777361340732701</stp>
        <tr r="E402" s="2"/>
      </tp>
      <tp t="s">
        <v>#N/A Requesting Data...4260291609</v>
        <stp/>
        <stp>BDP|2391223430425591116</stp>
        <tr r="E358" s="2"/>
      </tp>
      <tp t="s">
        <v>#N/A Requesting Data...4224645116</v>
        <stp/>
        <stp>BDP|8197544642957703951</stp>
        <tr r="F68" s="2"/>
      </tp>
      <tp t="s">
        <v>#N/A Requesting Data...4185103789</v>
        <stp/>
        <stp>BDP|5474232843926582240</stp>
        <tr r="H124" s="2"/>
      </tp>
      <tp t="s">
        <v>#N/A Requesting Data...4228330859</v>
        <stp/>
        <stp>BDP|7737742105909910952</stp>
        <tr r="H111" s="2"/>
      </tp>
      <tp t="s">
        <v>#N/A Requesting Data...4201756293</v>
        <stp/>
        <stp>BDP|5142560196961255892</stp>
        <tr r="G451" s="2"/>
      </tp>
      <tp t="s">
        <v>#N/A Requesting Data...4222850834</v>
        <stp/>
        <stp>BDP|8556315184144275789</stp>
        <tr r="H194" s="2"/>
      </tp>
      <tp t="s">
        <v>#N/A Requesting Data...4282046344</v>
        <stp/>
        <stp>BDP|5119871978839152353</stp>
        <tr r="Z95" s="1"/>
      </tp>
      <tp t="s">
        <v>#N/A Requesting Data...4289840618</v>
        <stp/>
        <stp>BDP|5502885455798522073</stp>
        <tr r="AB52" s="1"/>
      </tp>
      <tp t="s">
        <v>#N/A Requesting Data...4279854460</v>
        <stp/>
        <stp>BDP|2614396835705014703</stp>
        <tr r="Z34" s="1"/>
      </tp>
      <tp t="s">
        <v>#N/A Requesting Data...4213886130</v>
        <stp/>
        <stp>BDP|4225497685398537011</stp>
        <tr r="AA29" s="1"/>
      </tp>
      <tp t="s">
        <v>#N/A Requesting Data...4197205613</v>
        <stp/>
        <stp>BDP|1232481200770720571</stp>
        <tr r="G152" s="2"/>
      </tp>
      <tp t="s">
        <v>#N/A Requesting Data...4198930525</v>
        <stp/>
        <stp>BDP|6195623849397975398</stp>
        <tr r="F22" s="2"/>
        <tr r="F46" s="2"/>
      </tp>
      <tp t="s">
        <v>#N/A Requesting Data...4292456612</v>
        <stp/>
        <stp>BDP|2392782950923297322</stp>
        <tr r="AB92" s="1"/>
      </tp>
      <tp t="s">
        <v>#N/A Requesting Data...4265598338</v>
        <stp/>
        <stp>BDP|1558578025693819541</stp>
        <tr r="E246" s="2"/>
      </tp>
      <tp t="s">
        <v>#N/A Requesting Data...4274419745</v>
        <stp/>
        <stp>BDP|9841177335428690371</stp>
        <tr r="E15" s="2"/>
      </tp>
      <tp t="s">
        <v>#N/A Requesting Data...4226547261</v>
        <stp/>
        <stp>BDP|4247297205990034658</stp>
        <tr r="E589" s="2"/>
      </tp>
      <tp t="s">
        <v>#N/A Requesting Data...4252062561</v>
        <stp/>
        <stp>BDP|9018496881516127323</stp>
        <tr r="F86" s="2"/>
      </tp>
      <tp t="s">
        <v>#N/A Requesting Data...4210992680</v>
        <stp/>
        <stp>BDP|6342275262930592282</stp>
        <tr r="H257" s="2"/>
      </tp>
      <tp t="s">
        <v>#N/A Requesting Data...4294721379</v>
        <stp/>
        <stp>BDP|1678643474747502781</stp>
        <tr r="G183" s="2"/>
      </tp>
      <tp t="s">
        <v>#N/A Requesting Data...4291327463</v>
        <stp/>
        <stp>BDP|6609300608347323259</stp>
        <tr r="H287" s="2"/>
      </tp>
      <tp t="s">
        <v>#N/A Requesting Data...4220469321</v>
        <stp/>
        <stp>BDP|9861632476660312862</stp>
        <tr r="F54" s="2"/>
      </tp>
      <tp t="s">
        <v>#N/A Requesting Data...4227112422</v>
        <stp/>
        <stp>BDP|9653823112188708896</stp>
        <tr r="AB5" s="1"/>
      </tp>
      <tp t="s">
        <v>#N/A Requesting Data...4245677412</v>
        <stp/>
        <stp>BDP|4748601111361966272</stp>
        <tr r="E323" s="2"/>
      </tp>
      <tp t="s">
        <v>#N/A Requesting Data...4253945180</v>
        <stp/>
        <stp>BDP|4682524060596949158</stp>
        <tr r="F316" s="2"/>
      </tp>
      <tp t="s">
        <v>#N/A Requesting Data...4197409931</v>
        <stp/>
        <stp>BDP|1288258451347942171</stp>
        <tr r="F261" s="2"/>
      </tp>
      <tp t="s">
        <v>#N/A Requesting Data...4283288855</v>
        <stp/>
        <stp>BDP|6950732545634502138</stp>
        <tr r="H192" s="2"/>
      </tp>
      <tp t="s">
        <v>#N/A Requesting Data...4264005698</v>
        <stp/>
        <stp>BDP|1950483148806568751</stp>
        <tr r="G395" s="2"/>
      </tp>
      <tp t="s">
        <v>#N/A Requesting Data...4226574445</v>
        <stp/>
        <stp>BDP|8070836947306490292</stp>
        <tr r="H575" s="2"/>
      </tp>
      <tp t="s">
        <v>#N/A Requesting Data...4230365486</v>
        <stp/>
        <stp>BDP|9829874246176720374</stp>
        <tr r="F293" s="2"/>
      </tp>
      <tp t="s">
        <v>#N/A Requesting Data...4277805418</v>
        <stp/>
        <stp>BDP|2833620872096103507</stp>
        <tr r="G44" s="2"/>
      </tp>
      <tp t="s">
        <v>#N/A Requesting Data...4238764246</v>
        <stp/>
        <stp>BDP|6819467063296055247</stp>
        <tr r="F529" s="2"/>
        <tr r="F632" s="2"/>
        <tr r="F636" s="2"/>
      </tp>
      <tp t="s">
        <v>#N/A Requesting Data...4222995844</v>
        <stp/>
        <stp>BDP|3368164955952196584</stp>
        <tr r="H302" s="2"/>
      </tp>
      <tp t="s">
        <v>#N/A Requesting Data...4249810028</v>
        <stp/>
        <stp>BDP|5881385069779096972</stp>
        <tr r="F284" s="2"/>
      </tp>
      <tp t="s">
        <v>#N/A Requesting Data...4206676421</v>
        <stp/>
        <stp>BDP|1595294171872291603</stp>
        <tr r="E353" s="2"/>
      </tp>
      <tp t="s">
        <v>#N/A Requesting Data...4204300443</v>
        <stp/>
        <stp>BDP|1325094844276538349</stp>
        <tr r="F505" s="2"/>
      </tp>
      <tp t="s">
        <v>#N/A Requesting Data...4280206850</v>
        <stp/>
        <stp>BDP|2783030988262514869</stp>
        <tr r="G354" s="2"/>
      </tp>
      <tp t="s">
        <v>#N/A Requesting Data...4247722785</v>
        <stp/>
        <stp>BDP|6726288141727060723</stp>
        <tr r="AB79" s="1"/>
      </tp>
      <tp t="s">
        <v>#N/A Requesting Data...4246699106</v>
        <stp/>
        <stp>BDP|6381339438484494204</stp>
        <tr r="Z21" s="1"/>
      </tp>
      <tp t="s">
        <v>#N/A Requesting Data...4274349045</v>
        <stp/>
        <stp>BDP|2590337658872015629</stp>
        <tr r="F351" s="2"/>
      </tp>
      <tp t="s">
        <v>#N/A Requesting Data...4274228314</v>
        <stp/>
        <stp>BDP|3406073825246279785</stp>
        <tr r="H398" s="2"/>
      </tp>
      <tp t="s">
        <v>#N/A Requesting Data...4281251645</v>
        <stp/>
        <stp>BDP|7814313624620431653</stp>
        <tr r="G57" s="2"/>
      </tp>
      <tp t="s">
        <v>#N/A Requesting Data...4284326768</v>
        <stp/>
        <stp>BDP|7163893900609562611</stp>
        <tr r="F543" s="2"/>
      </tp>
      <tp t="s">
        <v>#N/A Requesting Data...4237711103</v>
        <stp/>
        <stp>BDP|9932771403946248838</stp>
        <tr r="G570" s="2"/>
      </tp>
      <tp t="s">
        <v>#N/A Requesting Data...4275067793</v>
        <stp/>
        <stp>BDP|1266731102276751098</stp>
        <tr r="AA35" s="1"/>
      </tp>
      <tp t="s">
        <v>#N/A Requesting Data...4252447825</v>
        <stp/>
        <stp>BDP|3988389619584176548</stp>
        <tr r="H196" s="2"/>
      </tp>
      <tp t="s">
        <v>#N/A Requesting Data...4224417088</v>
        <stp/>
        <stp>BDP|8559404698056779378</stp>
        <tr r="E344" s="2"/>
      </tp>
      <tp t="s">
        <v>#N/A Requesting Data...4267601301</v>
        <stp/>
        <stp>BDP|9949553821717234926</stp>
        <tr r="E165" s="2"/>
      </tp>
      <tp t="s">
        <v>#N/A Requesting Data...4217157071</v>
        <stp/>
        <stp>BDP|9549207170709687510</stp>
        <tr r="AB2" s="1"/>
      </tp>
      <tp t="s">
        <v>#N/A Requesting Data...4232351657</v>
        <stp/>
        <stp>BDP|7129645807648539951</stp>
        <tr r="H395" s="2"/>
      </tp>
      <tp t="s">
        <v>#N/A Requesting Data...4227154988</v>
        <stp/>
        <stp>BDP|8894419990784235193</stp>
        <tr r="E82" s="2"/>
      </tp>
      <tp t="s">
        <v>#N/A Requesting Data...4226820970</v>
        <stp/>
        <stp>BDP|7234251250066715625</stp>
        <tr r="Z82" s="1"/>
      </tp>
      <tp t="s">
        <v>#N/A Requesting Data...4276705801</v>
        <stp/>
        <stp>BDP|5304293745176833557</stp>
        <tr r="H290" s="2"/>
      </tp>
      <tp t="s">
        <v>#N/A Requesting Data...4258292343</v>
        <stp/>
        <stp>BDP|4676096040416564685</stp>
        <tr r="G279" s="2"/>
      </tp>
      <tp t="s">
        <v>#N/A Requesting Data...4280065366</v>
        <stp/>
        <stp>BDP|2516035932826202755</stp>
        <tr r="H598" s="2"/>
      </tp>
      <tp t="s">
        <v>#N/A Requesting Data...4280316315</v>
        <stp/>
        <stp>BDP|9784044717348470030</stp>
        <tr r="H11" s="2"/>
      </tp>
      <tp t="s">
        <v>#N/A Requesting Data...4232676995</v>
        <stp/>
        <stp>BDP|5576341168039287986</stp>
        <tr r="G371" s="2"/>
      </tp>
      <tp t="s">
        <v>#N/A Requesting Data...4247248888</v>
        <stp/>
        <stp>BDP|9978085981092208319</stp>
        <tr r="G280" s="2"/>
      </tp>
      <tp t="s">
        <v>#N/A Requesting Data...4248880974</v>
        <stp/>
        <stp>BDP|7581045752315223720</stp>
        <tr r="G218" s="2"/>
      </tp>
      <tp t="s">
        <v>#N/A Requesting Data...4280651146</v>
        <stp/>
        <stp>BDP|6750739779606964070</stp>
        <tr r="H126" s="2"/>
      </tp>
      <tp t="s">
        <v>#N/A Requesting Data...4260544365</v>
        <stp/>
        <stp>BDP|5653078942014234521</stp>
        <tr r="E245" s="2"/>
      </tp>
      <tp t="s">
        <v>#N/A Requesting Data...4278462616</v>
        <stp/>
        <stp>BDP|1727104971866304160</stp>
        <tr r="H226" s="2"/>
      </tp>
      <tp t="s">
        <v>#N/A Requesting Data...4257374370</v>
        <stp/>
        <stp>BDP|5238306975605655422</stp>
        <tr r="F190" s="2"/>
      </tp>
      <tp t="s">
        <v>#N/A Requesting Data...4288000415</v>
        <stp/>
        <stp>BDP|7262940251943595812</stp>
        <tr r="H278" s="2"/>
      </tp>
      <tp t="s">
        <v>#N/A Requesting Data...4291777472</v>
        <stp/>
        <stp>BDP|6345467930817238671</stp>
        <tr r="AB106" s="1"/>
      </tp>
      <tp t="s">
        <v>#N/A Requesting Data...4270138071</v>
        <stp/>
        <stp>BDP|2659537931861147553</stp>
        <tr r="F95" s="2"/>
      </tp>
      <tp t="s">
        <v>#N/A Requesting Data...4274527551</v>
        <stp/>
        <stp>BDP|4378869787302000621</stp>
        <tr r="G242" s="2"/>
      </tp>
      <tp t="s">
        <v>#N/A Requesting Data...4250437933</v>
        <stp/>
        <stp>BDP|9129906463477197138</stp>
        <tr r="E95" s="2"/>
      </tp>
      <tp t="s">
        <v>#N/A Requesting Data...4265971320</v>
        <stp/>
        <stp>BDP|5586718510327659425</stp>
        <tr r="G228" s="2"/>
      </tp>
      <tp t="s">
        <v>#N/A Requesting Data...4240522276</v>
        <stp/>
        <stp>BDP|2605616756001611073</stp>
        <tr r="H79" s="2"/>
      </tp>
      <tp t="s">
        <v>#N/A Requesting Data...4270766029</v>
        <stp/>
        <stp>BDP|1596711892817563831</stp>
        <tr r="H255" s="2"/>
      </tp>
      <tp t="s">
        <v>#N/A Requesting Data...4241714119</v>
        <stp/>
        <stp>BDP|9083951947387189329</stp>
        <tr r="H338" s="2"/>
      </tp>
      <tp t="s">
        <v>#N/A Requesting Data...4280615922</v>
        <stp/>
        <stp>BDP|5655668615770126254</stp>
        <tr r="H138" s="2"/>
      </tp>
      <tp t="s">
        <v>#N/A Requesting Data...4268344129</v>
        <stp/>
        <stp>BDP|2368207424872743012</stp>
        <tr r="G351" s="2"/>
      </tp>
      <tp t="s">
        <v>#N/A Requesting Data...4254948582</v>
        <stp/>
        <stp>BDP|3099251355014716068</stp>
        <tr r="E76" s="2"/>
      </tp>
      <tp t="s">
        <v>#N/A Requesting Data...4271582467</v>
        <stp/>
        <stp>BDP|8573009221292197844</stp>
        <tr r="G258" s="2"/>
      </tp>
      <tp t="s">
        <v>#N/A Requesting Data...4262283412</v>
        <stp/>
        <stp>BDP|2630805466585262930</stp>
        <tr r="E506" s="2"/>
      </tp>
      <tp t="s">
        <v>#N/A Requesting Data...4265221078</v>
        <stp/>
        <stp>BDP|5481682808504053723</stp>
        <tr r="E535" s="2"/>
      </tp>
      <tp t="s">
        <v>#N/A Requesting Data...4290411092</v>
        <stp/>
        <stp>BDP|2616985948876728975</stp>
        <tr r="E397" s="2"/>
      </tp>
      <tp t="s">
        <v>#N/A Requesting Data...4277749307</v>
        <stp/>
        <stp>BDP|8178228793231691205</stp>
        <tr r="E543" s="2"/>
      </tp>
      <tp t="s">
        <v>#N/A Requesting Data...4267501661</v>
        <stp/>
        <stp>BDP|3243431523596582318</stp>
        <tr r="AB68" s="1"/>
      </tp>
      <tp t="s">
        <v>#N/A Requesting Data...4254454044</v>
        <stp/>
        <stp>BDP|1094774366097450738</stp>
        <tr r="F91" s="2"/>
      </tp>
      <tp t="s">
        <v>#N/A Requesting Data...4279579385</v>
        <stp/>
        <stp>BDP|8540108138389926329</stp>
        <tr r="H437" s="2"/>
      </tp>
      <tp t="s">
        <v>#N/A Requesting Data...4263069504</v>
        <stp/>
        <stp>BDP|7031799839564488720</stp>
        <tr r="H87" s="2"/>
      </tp>
      <tp t="s">
        <v>#N/A Requesting Data...4253319435</v>
        <stp/>
        <stp>BDP|6478332202942153734</stp>
        <tr r="Z75" s="1"/>
      </tp>
      <tp t="s">
        <v>#N/A Requesting Data...4269502193</v>
        <stp/>
        <stp>BDP|2146892429398199072</stp>
        <tr r="Z4" s="1"/>
      </tp>
      <tp t="s">
        <v>#N/A Requesting Data...4267081948</v>
        <stp/>
        <stp>BDP|2843120108923584004</stp>
        <tr r="G83" s="2"/>
      </tp>
      <tp t="s">
        <v>#N/A Requesting Data...4252954281</v>
        <stp/>
        <stp>BDP|3615084239849854989</stp>
        <tr r="F65" s="2"/>
      </tp>
      <tp t="s">
        <v>#N/A Requesting Data...4267368261</v>
        <stp/>
        <stp>BDP|2524629455938361964</stp>
        <tr r="E502" s="2"/>
      </tp>
      <tp t="s">
        <v>#N/A Requesting Data...4292397556</v>
        <stp/>
        <stp>BDP|4385765623791722068</stp>
        <tr r="E566" s="2"/>
      </tp>
      <tp t="s">
        <v>#N/A Requesting Data...4262499185</v>
        <stp/>
        <stp>BDP|2778911534098260075</stp>
        <tr r="F368" s="2"/>
      </tp>
      <tp t="s">
        <v>#N/A Requesting Data...4264150255</v>
        <stp/>
        <stp>BDP|9464367659617820841</stp>
        <tr r="F406" s="2"/>
      </tp>
      <tp t="s">
        <v>#N/A Requesting Data...4284264616</v>
        <stp/>
        <stp>BDP|8109241493643713053</stp>
        <tr r="Z11" s="1"/>
      </tp>
      <tp t="s">
        <v>#N/A Requesting Data...4271367109</v>
        <stp/>
        <stp>BDP|3478855274149970583</stp>
        <tr r="G465" s="2"/>
      </tp>
      <tp t="s">
        <v>#N/A Requesting Data...4286772878</v>
        <stp/>
        <stp>BDP|8136521067539049212</stp>
        <tr r="G548" s="2"/>
      </tp>
      <tp t="s">
        <v>#N/A Requesting Data...4266409992</v>
        <stp/>
        <stp>BDP|9354567211064574946</stp>
        <tr r="H113" s="2"/>
      </tp>
      <tp t="s">
        <v>#N/A Requesting Data...4267979599</v>
        <stp/>
        <stp>BDP|6079318126491193631</stp>
        <tr r="Z35" s="1"/>
      </tp>
      <tp t="s">
        <v>#N/A Requesting Data...4278905015</v>
        <stp/>
        <stp>BDP|5681810465453024878</stp>
        <tr r="G563" s="2"/>
      </tp>
      <tp t="s">
        <v>#N/A Requesting Data...4272540751</v>
        <stp/>
        <stp>BDP|7617497190913559803</stp>
        <tr r="G259" s="2"/>
      </tp>
      <tp t="s">
        <v>#N/A Requesting Data...4268098553</v>
        <stp/>
        <stp>BDP|8812079783639116875</stp>
        <tr r="F112" s="2"/>
      </tp>
      <tp t="s">
        <v>#N/A Requesting Data...4282288495</v>
        <stp/>
        <stp>BDP|9567472409925794968</stp>
        <tr r="E380" s="2"/>
      </tp>
      <tp t="s">
        <v>#N/A Requesting Data...4267974526</v>
        <stp/>
        <stp>BDP|4948696570005283185</stp>
        <tr r="H466" s="2"/>
      </tp>
      <tp t="s">
        <v>#N/A Requesting Data...4285505397</v>
        <stp/>
        <stp>BDP|5212654923459728992</stp>
        <tr r="E325" s="2"/>
      </tp>
      <tp t="s">
        <v>#N/A Requesting Data...4277847021</v>
        <stp/>
        <stp>BDP|5767694943660700606</stp>
        <tr r="AB66" s="1"/>
      </tp>
      <tp t="s">
        <v>#N/A Requesting Data...4283890926</v>
        <stp/>
        <stp>BDP|5256166919723622711</stp>
        <tr r="G461" s="2"/>
      </tp>
      <tp t="s">
        <v>#N/A Requesting Data...4279564687</v>
        <stp/>
        <stp>BDP|3954537048912079197</stp>
        <tr r="F309" s="2"/>
      </tp>
      <tp t="s">
        <v>#N/A Requesting Data...4273757720</v>
        <stp/>
        <stp>BDP|7992638974183573409</stp>
        <tr r="AA83" s="1"/>
      </tp>
      <tp t="s">
        <v>#N/A Requesting Data...4282402483</v>
        <stp/>
        <stp>BDP|9629090103859041170</stp>
        <tr r="H532" s="2"/>
      </tp>
      <tp t="s">
        <v>#N/A Requesting Data...4272640094</v>
        <stp/>
        <stp>BDP|4664214944832005184</stp>
        <tr r="G497" s="2"/>
      </tp>
      <tp t="s">
        <v>#N/A Requesting Data...4291493650</v>
        <stp/>
        <stp>BDP|5585908054898222089</stp>
        <tr r="E315" s="2"/>
      </tp>
      <tp t="s">
        <v>#N/A Requesting Data...4283068524</v>
        <stp/>
        <stp>BDP|1299259181408821252</stp>
        <tr r="H407" s="2"/>
      </tp>
      <tp t="s">
        <v>#N/A Requesting Data...4285701995</v>
        <stp/>
        <stp>BDP|5217297295468549702</stp>
        <tr r="G156" s="2"/>
      </tp>
      <tp t="s">
        <v>#N/A Requesting Data...4282581968</v>
        <stp/>
        <stp>BDP|5010645169400349453</stp>
        <tr r="Z38" s="1"/>
      </tp>
      <tp t="s">
        <v>#N/A Requesting Data...4292936361</v>
        <stp/>
        <stp>BDP|6073734906563593381</stp>
        <tr r="F445" s="2"/>
      </tp>
      <tp t="s">
        <v>#N/A Requesting Data...4290322293</v>
        <stp/>
        <stp>BDP|1976311306286712515</stp>
        <tr r="H353" s="2"/>
      </tp>
      <tp t="s">
        <v>#N/A Requesting Data...4290972456</v>
        <stp/>
        <stp>BDP|3154205089451107911</stp>
        <tr r="H91" s="2"/>
      </tp>
      <tp t="s">
        <v>#N/A Requesting Data...4293085163</v>
        <stp/>
        <stp>BDP|6512681841740336571</stp>
        <tr r="G323" s="2"/>
      </tp>
      <tp t="s">
        <v>#N/A Requesting Data...4289107902</v>
        <stp/>
        <stp>BDP|3573495121334606035</stp>
        <tr r="G252" s="2"/>
      </tp>
      <tp t="s">
        <v>#N/A Requesting Data...4288876100</v>
        <stp/>
        <stp>BDP|3631812789642659005</stp>
        <tr r="E26" s="2"/>
      </tp>
      <tp t="s">
        <v>#N/A Requesting Data...4291938251</v>
        <stp/>
        <stp>BDP|1980447910532787739</stp>
        <tr r="G31" s="2"/>
      </tp>
      <tp t="s">
        <v>#N/A Requesting Data...4290720590</v>
        <stp/>
        <stp>BDP|8753402488590281549</stp>
        <tr r="H411" s="2"/>
      </tp>
      <tp t="s">
        <v>#N/A Requesting Data...4294356806</v>
        <stp/>
        <stp>BDP|6962509550957221026</stp>
        <tr r="H315" s="2"/>
      </tp>
      <tp t="s">
        <v>#N/A Requesting Data...4291165996</v>
        <stp/>
        <stp>BDP|8486812976855821325</stp>
        <tr r="F125" s="2"/>
      </tp>
      <tp t="s">
        <v>#N/A Requesting Data...4292925373</v>
        <stp/>
        <stp>BDP|2736369088148077074</stp>
        <tr r="F291" s="2"/>
      </tp>
      <tp t="s">
        <v>#N/A Requesting Data...4291794390</v>
        <stp/>
        <stp>BDP|6987523317802383117</stp>
        <tr r="E483" s="2"/>
      </tp>
      <tp t="s">
        <v>#N/A Requesting Data...4293954052</v>
        <stp/>
        <stp>BDP|9694584644608521116</stp>
        <tr r="F170" s="2"/>
      </tp>
      <tp t="s">
        <v>#N/A Requesting Data...4294693958</v>
        <stp/>
        <stp>BDP|7587476266683333794</stp>
        <tr r="E204" s="2"/>
      </tp>
      <tp t="s">
        <v>#N/A Requesting Data...4294853059</v>
        <stp/>
        <stp>BDP|1407973897313977337</stp>
        <tr r="Z6" s="1"/>
      </tp>
      <tp t="s">
        <v>#N/A Requesting Data...1909269236</v>
        <stp/>
        <stp>BDP|5512691784298074266</stp>
        <tr r="H485" s="2"/>
      </tp>
      <tp t="s">
        <v>#N/A Requesting Data...257967644</v>
        <stp/>
        <stp>BDP|1233584624155866285</stp>
        <tr r="G612" s="2"/>
      </tp>
      <tp t="s">
        <v>#N/A Requesting Data...1839437158</v>
        <stp/>
        <stp>BDP|5209376398556111826</stp>
        <tr r="E207" s="2"/>
      </tp>
      <tp t="s">
        <v>#N/A Requesting Data...761304445</v>
        <stp/>
        <stp>BDP|6964477534230785022</stp>
        <tr r="G622" s="2"/>
      </tp>
      <tp t="s">
        <v>#N/A Requesting Data...495461199</v>
        <stp/>
        <stp>BDP|7297640155116452380</stp>
        <tr r="AB48" s="1"/>
      </tp>
      <tp t="s">
        <v>#N/A Requesting Data...2137230262</v>
        <stp/>
        <stp>BDP|8942310476394774961</stp>
        <tr r="Z94" s="1"/>
      </tp>
      <tp t="s">
        <v>#N/A Requesting Data...3528451927</v>
        <stp/>
        <stp>BDP|8652207619112697869</stp>
        <tr r="H567" s="2"/>
      </tp>
      <tp t="s">
        <v>#N/A Requesting Data...3982776007</v>
        <stp/>
        <stp>BDP|4128530929896073448</stp>
        <tr r="H54" s="2"/>
      </tp>
      <tp t="s">
        <v>#N/A Requesting Data...3102895927</v>
        <stp/>
        <stp>BDP|8057623751669933357</stp>
        <tr r="G81" s="2"/>
      </tp>
      <tp t="s">
        <v>#N/A Requesting Data...3358839977</v>
        <stp/>
        <stp>BDP|4097801985987805226</stp>
        <tr r="G5" s="2"/>
      </tp>
      <tp t="s">
        <v>#N/A Requesting Data...2719153504</v>
        <stp/>
        <stp>BDP|4731338317373595497</stp>
        <tr r="H494" s="2"/>
      </tp>
      <tp t="s">
        <v>#N/A Requesting Data...3059544242</v>
        <stp/>
        <stp>BDP|1007914106098012183</stp>
        <tr r="E608" s="2"/>
      </tp>
      <tp t="s">
        <v>#N/A Requesting Data...4181772893</v>
        <stp/>
        <stp>BDP|1894458824317589101</stp>
        <tr r="H559" s="2"/>
      </tp>
      <tp t="s">
        <v>#N/A Requesting Data...3032318173</v>
        <stp/>
        <stp>BDP|2150026886932194998</stp>
        <tr r="F140" s="2"/>
      </tp>
      <tp t="s">
        <v>#N/A Requesting Data...3166452595</v>
        <stp/>
        <stp>BDP|1689082109866943639</stp>
        <tr r="G391" s="2"/>
      </tp>
      <tp t="s">
        <v>#N/A Requesting Data...2959524539</v>
        <stp/>
        <stp>BDP|7693109392328154687</stp>
        <tr r="H237" s="2"/>
      </tp>
      <tp t="s">
        <v>#N/A Requesting Data...585995051</v>
        <stp/>
        <stp>BDP|7556300337613723581</stp>
        <tr r="H579" s="2"/>
      </tp>
      <tp t="s">
        <v>#N/A Requesting Data...1103394338</v>
        <stp/>
        <stp>BDP|4410457316226343696</stp>
        <tr r="G499" s="2"/>
      </tp>
      <tp t="s">
        <v>#N/A Requesting Data...3663919654</v>
        <stp/>
        <stp>BDP|1626412230861197648</stp>
        <tr r="Z27" s="1"/>
      </tp>
      <tp t="s">
        <v>#N/A Requesting Data...3047653642</v>
        <stp/>
        <stp>BDP|6170220170980921284</stp>
        <tr r="E281" s="2"/>
      </tp>
      <tp t="s">
        <v>#N/A Requesting Data...4081095361</v>
        <stp/>
        <stp>BDP|6383831537449256573</stp>
        <tr r="E428" s="2"/>
      </tp>
      <tp t="s">
        <v>#N/A Requesting Data...1409669616</v>
        <stp/>
        <stp>BDP|6566923248928526285</stp>
        <tr r="H507" s="2"/>
      </tp>
      <tp t="s">
        <v>#N/A Requesting Data...1970370362</v>
        <stp/>
        <stp>BDP|4517310691906614914</stp>
        <tr r="G575" s="2"/>
      </tp>
      <tp t="s">
        <v>#N/A Requesting Data...1986579427</v>
        <stp/>
        <stp>BDP|4302488777480603680</stp>
        <tr r="H396" s="2"/>
      </tp>
      <tp t="s">
        <v>#N/A Requesting Data...117922650</v>
        <stp/>
        <stp>BDP|7899559918977630514</stp>
        <tr r="AB8" s="1"/>
      </tp>
      <tp t="s">
        <v>#N/A Requesting Data...1864592454</v>
        <stp/>
        <stp>BDP|7064982098225246303</stp>
        <tr r="G384" s="2"/>
      </tp>
      <tp t="s">
        <v>#N/A Requesting Data...3752806484</v>
        <stp/>
        <stp>BDP|4556103957919948898</stp>
        <tr r="H499" s="2"/>
      </tp>
      <tp t="s">
        <v>#N/A Requesting Data...3533113156</v>
        <stp/>
        <stp>BDP|6286728410372403360</stp>
        <tr r="F485" s="2"/>
      </tp>
      <tp t="s">
        <v>#N/A Requesting Data...4196434750</v>
        <stp/>
        <stp>BDP|7055208128903986538</stp>
        <tr r="H147" s="2"/>
      </tp>
      <tp t="s">
        <v>#N/A Requesting Data...3671478166</v>
        <stp/>
        <stp>BDP|1725648777999052861</stp>
        <tr r="F311" s="2"/>
      </tp>
      <tp t="s">
        <v>#N/A Requesting Data...2013226997</v>
        <stp/>
        <stp>BDP|5069540248850633594</stp>
        <tr r="F70" s="2"/>
      </tp>
      <tp t="s">
        <v>#N/A Requesting Data...1678648663</v>
        <stp/>
        <stp>BDP|4408221304506859196</stp>
        <tr r="G112" s="2"/>
      </tp>
      <tp t="s">
        <v>#N/A Requesting Data...2343626438</v>
        <stp/>
        <stp>BDP|5104212146645403729</stp>
        <tr r="E481" s="2"/>
      </tp>
      <tp t="s">
        <v>#N/A Requesting Data...1647648233</v>
        <stp/>
        <stp>BDP|9410256474105369863</stp>
        <tr r="H119" s="2"/>
      </tp>
      <tp t="s">
        <v>#N/A Requesting Data...3016630846</v>
        <stp/>
        <stp>BDP|3370615786299056546</stp>
        <tr r="E372" s="2"/>
      </tp>
      <tp t="s">
        <v>#N/A Requesting Data...3198552121</v>
        <stp/>
        <stp>BDP|1189331919045895736</stp>
        <tr r="E586" s="2"/>
      </tp>
      <tp t="s">
        <v>#N/A Requesting Data...2107896696</v>
        <stp/>
        <stp>BDP|5795670631137773676</stp>
        <tr r="G163" s="2"/>
      </tp>
      <tp t="s">
        <v>#N/A Requesting Data...2691152893</v>
        <stp/>
        <stp>BDP|6902210521572158598</stp>
        <tr r="Z25" s="1"/>
      </tp>
      <tp t="s">
        <v>#N/A Requesting Data...2826813322</v>
        <stp/>
        <stp>BDP|4237998085181926565</stp>
        <tr r="F388" s="2"/>
      </tp>
      <tp t="s">
        <v>#N/A Requesting Data...1698764910</v>
        <stp/>
        <stp>BDP|2253179950672219564</stp>
        <tr r="Z76" s="1"/>
      </tp>
      <tp t="s">
        <v>#N/A Requesting Data...3067831192</v>
        <stp/>
        <stp>BDP|4256445908590857170</stp>
        <tr r="G195" s="2"/>
      </tp>
      <tp t="s">
        <v>#N/A Requesting Data...871906576</v>
        <stp/>
        <stp>BDP|1921146246225848020</stp>
        <tr r="E125" s="2"/>
      </tp>
      <tp t="s">
        <v>#N/A Requesting Data...1665932273</v>
        <stp/>
        <stp>BDP|6555045629091004497</stp>
        <tr r="E23" s="2"/>
      </tp>
      <tp t="s">
        <v>#N/A Requesting Data...507490309</v>
        <stp/>
        <stp>BDP|3589107273346127216</stp>
        <tr r="E80" s="2"/>
      </tp>
      <tp t="s">
        <v>#N/A Requesting Data...2806835575</v>
        <stp/>
        <stp>BDP|4287574897450677924</stp>
        <tr r="Z99" s="1"/>
      </tp>
      <tp t="s">
        <v>#N/A Requesting Data...3565943960</v>
        <stp/>
        <stp>BDP|1182359914636495423</stp>
        <tr r="G115" s="2"/>
      </tp>
      <tp t="s">
        <v>#N/A Requesting Data...1228443189</v>
        <stp/>
        <stp>BDP|4685964436988991793</stp>
        <tr r="H521" s="2"/>
      </tp>
      <tp t="s">
        <v>#N/A Requesting Data...1633563313</v>
        <stp/>
        <stp>BDP|2602195766430639497</stp>
        <tr r="F372" s="2"/>
      </tp>
      <tp t="s">
        <v>#N/A Requesting Data...1984413112</v>
        <stp/>
        <stp>BDP|5180455695141155872</stp>
        <tr r="AA56" s="1"/>
      </tp>
      <tp t="s">
        <v>#N/A Requesting Data...2758197260</v>
        <stp/>
        <stp>BDP|6477379171732477115</stp>
        <tr r="E622" s="2"/>
      </tp>
      <tp t="s">
        <v>#N/A Requesting Data...3944980805</v>
        <stp/>
        <stp>BDP|9890939909317720620</stp>
        <tr r="F57" s="2"/>
      </tp>
      <tp t="s">
        <v>#N/A Requesting Data...96218381</v>
        <stp/>
        <stp>BDP|6994768678321685668</stp>
        <tr r="H588" s="2"/>
      </tp>
      <tp t="s">
        <v>#N/A Requesting Data...499597276</v>
        <stp/>
        <stp>BDP|3707738113583036735</stp>
        <tr r="H382" s="2"/>
      </tp>
      <tp t="s">
        <v>#N/A Requesting Data...1356483593</v>
        <stp/>
        <stp>BDP|2735084424166899773</stp>
        <tr r="Z44" s="1"/>
      </tp>
      <tp t="s">
        <v>#N/A Requesting Data...4162106780</v>
        <stp/>
        <stp>BDP|7333006807584558254</stp>
        <tr r="H270" s="2"/>
      </tp>
      <tp t="s">
        <v>#N/A Requesting Data...1705683974</v>
        <stp/>
        <stp>BDP|2645764602527443324</stp>
        <tr r="G457" s="2"/>
      </tp>
      <tp t="s">
        <v>#N/A Requesting Data...1398427318</v>
        <stp/>
        <stp>BDP|5606151620964455338</stp>
        <tr r="AB16" s="1"/>
      </tp>
      <tp t="s">
        <v>#N/A Requesting Data...1141015339</v>
        <stp/>
        <stp>BDP|9471047024509764375</stp>
        <tr r="AB78" s="1"/>
      </tp>
      <tp t="s">
        <v>#N/A Requesting Data...2592253742</v>
        <stp/>
        <stp>BDP|3896745550498167898</stp>
        <tr r="E527" s="2"/>
      </tp>
      <tp t="s">
        <v>#N/A Requesting Data...4187950898</v>
        <stp/>
        <stp>BDP|2206202667852016502</stp>
        <tr r="AA2" s="1"/>
      </tp>
      <tp t="s">
        <v>#N/A Requesting Data...637966888</v>
        <stp/>
        <stp>BDP|9478908776907690116</stp>
        <tr r="F428" s="2"/>
      </tp>
      <tp t="s">
        <v>#N/A Requesting Data...2250521645</v>
        <stp/>
        <stp>BDP|4683515608112845223</stp>
        <tr r="F19" s="2"/>
      </tp>
      <tp t="s">
        <v>#N/A Requesting Data...4242798290</v>
        <stp/>
        <stp>BDP|7621390252505992511</stp>
        <tr r="G215" s="2"/>
      </tp>
      <tp t="s">
        <v>#N/A Requesting Data...3094698782</v>
        <stp/>
        <stp>BDP|5092780935581872105</stp>
        <tr r="F353" s="2"/>
      </tp>
      <tp t="s">
        <v>#N/A Requesting Data...3357115116</v>
        <stp/>
        <stp>BDP|5751763326032311317</stp>
        <tr r="H457" s="2"/>
      </tp>
      <tp t="s">
        <v>#N/A Requesting Data...4234117811</v>
        <stp/>
        <stp>BDP|7426247143724176477</stp>
        <tr r="H427" s="2"/>
      </tp>
      <tp t="s">
        <v>#N/A Requesting Data...1540863468</v>
        <stp/>
        <stp>BDP|7672556553891395765</stp>
        <tr r="F376" s="2"/>
      </tp>
      <tp t="s">
        <v>#N/A Requesting Data...4047221921</v>
        <stp/>
        <stp>BDP|8397899831512778369</stp>
        <tr r="G480" s="2"/>
      </tp>
      <tp t="s">
        <v>#N/A Requesting Data...3063984682</v>
        <stp/>
        <stp>BDP|3934973099885804455</stp>
        <tr r="H240" s="2"/>
      </tp>
      <tp t="s">
        <v>#N/A Requesting Data...1924750020</v>
        <stp/>
        <stp>BDP|5880161304207658163</stp>
        <tr r="Z9" s="1"/>
      </tp>
      <tp t="s">
        <v>#N/A Requesting Data...1359028370</v>
        <stp/>
        <stp>BDP|1961846999905876761</stp>
        <tr r="G509" s="2"/>
      </tp>
      <tp t="s">
        <v>#N/A Requesting Data...534845068</v>
        <stp/>
        <stp>BDP|7427263432062880628</stp>
        <tr r="AA47" s="1"/>
      </tp>
      <tp t="s">
        <v>#N/A Requesting Data...1895364202</v>
        <stp/>
        <stp>BDP|1634520908013401520</stp>
        <tr r="E43" s="2"/>
      </tp>
      <tp t="s">
        <v>#N/A Requesting Data...861871644</v>
        <stp/>
        <stp>BDP|6766254762642319292</stp>
        <tr r="F23" s="2"/>
      </tp>
      <tp t="s">
        <v>#N/A Requesting Data...3682910978</v>
        <stp/>
        <stp>BDP|3069144156452171797</stp>
        <tr r="G314" s="2"/>
      </tp>
      <tp t="s">
        <v>#N/A Requesting Data...3385540661</v>
        <stp/>
        <stp>BDP|1655574052247194493</stp>
        <tr r="H159" s="2"/>
      </tp>
      <tp t="s">
        <v>#N/A Requesting Data...2921428435</v>
        <stp/>
        <stp>BDP|4055804281905319394</stp>
        <tr r="H557" s="2"/>
      </tp>
      <tp t="s">
        <v>#N/A Requesting Data...2592026784</v>
        <stp/>
        <stp>BDP|7675739979574174161</stp>
        <tr r="H129" s="2"/>
      </tp>
      <tp t="s">
        <v>#N/A Requesting Data...3023576381</v>
        <stp/>
        <stp>BDP|5971054932581545538</stp>
        <tr r="H186" s="2"/>
      </tp>
      <tp t="s">
        <v>#N/A Requesting Data...120756121</v>
        <stp/>
        <stp>BDP|9965665180312786704</stp>
        <tr r="G60" s="2"/>
      </tp>
      <tp t="s">
        <v>#N/A Requesting Data...2645414842</v>
        <stp/>
        <stp>BDP|7463782825398732866</stp>
        <tr r="F466" s="2"/>
      </tp>
      <tp t="s">
        <v>#N/A Requesting Data...3642805794</v>
        <stp/>
        <stp>BDP|7025663838541752116</stp>
        <tr r="F551" s="2"/>
      </tp>
      <tp t="s">
        <v>#N/A Requesting Data...2503540305</v>
        <stp/>
        <stp>BDP|8504194493882016064</stp>
        <tr r="G453" s="2"/>
      </tp>
      <tp t="s">
        <v>#N/A Requesting Data...1082099240</v>
        <stp/>
        <stp>BDP|7210821648678887194</stp>
        <tr r="G531" s="2"/>
        <tr r="G626" s="2"/>
        <tr r="G628" s="2"/>
        <tr r="G630" s="2"/>
        <tr r="G634" s="2"/>
        <tr r="G638" s="2"/>
      </tp>
      <tp t="s">
        <v>#N/A Requesting Data...3833025464</v>
        <stp/>
        <stp>BDP|5745061598958153617</stp>
        <tr r="Z83" s="1"/>
      </tp>
      <tp t="s">
        <v>#N/A Requesting Data...2973676128</v>
        <stp/>
        <stp>BDP|1993226558290885426</stp>
        <tr r="H262" s="2"/>
      </tp>
      <tp t="s">
        <v>#N/A Requesting Data...4192381027</v>
        <stp/>
        <stp>BDP|3130168075134374389</stp>
        <tr r="F224" s="2"/>
      </tp>
      <tp t="s">
        <v>#N/A Requesting Data...1688446801</v>
        <stp/>
        <stp>BDP|7229988057451133824</stp>
        <tr r="F455" s="2"/>
      </tp>
      <tp t="s">
        <v>#N/A Requesting Data...115681448</v>
        <stp/>
        <stp>BDP|8746878273304985146</stp>
        <tr r="H386" s="2"/>
      </tp>
      <tp t="s">
        <v>#N/A Requesting Data...1169641458</v>
        <stp/>
        <stp>BDP|4206171854816988461</stp>
        <tr r="E449" s="2"/>
      </tp>
      <tp t="s">
        <v>#N/A Requesting Data...3577005403</v>
        <stp/>
        <stp>BDP|7727049291805838947</stp>
        <tr r="F120" s="2"/>
      </tp>
      <tp t="s">
        <v>#N/A Requesting Data...3636156756</v>
        <stp/>
        <stp>BDP|4403836983256999025</stp>
        <tr r="E110" s="2"/>
      </tp>
      <tp t="s">
        <v>#N/A Requesting Data...2386264224</v>
        <stp/>
        <stp>BDP|2269394028414917556</stp>
        <tr r="E261" s="2"/>
      </tp>
      <tp t="s">
        <v>#N/A Requesting Data...2167357065</v>
        <stp/>
        <stp>BDP|6200395859652932041</stp>
        <tr r="E74" s="2"/>
      </tp>
      <tp t="s">
        <v>#N/A Requesting Data...1441441321</v>
        <stp/>
        <stp>BDP|9794086943698052700</stp>
        <tr r="E91" s="2"/>
      </tp>
      <tp t="s">
        <v>#N/A Requesting Data...2297703538</v>
        <stp/>
        <stp>BDP|2464777959780713211</stp>
        <tr r="H564" s="2"/>
      </tp>
      <tp t="s">
        <v>#N/A Requesting Data...1810347390</v>
        <stp/>
        <stp>BDP|4414087519986082191</stp>
        <tr r="H122" s="2"/>
      </tp>
      <tp t="s">
        <v>#N/A Requesting Data...4183459031</v>
        <stp/>
        <stp>BDP|7834355223211766549</stp>
        <tr r="F186" s="2"/>
      </tp>
      <tp t="s">
        <v>#N/A Requesting Data...3637399085</v>
        <stp/>
        <stp>BDP|9907400381380314762</stp>
        <tr r="H188" s="2"/>
      </tp>
      <tp t="s">
        <v>#N/A Requesting Data...3612859015</v>
        <stp/>
        <stp>BDP|1663722841131003186</stp>
        <tr r="H448" s="2"/>
      </tp>
      <tp t="s">
        <v>#N/A Requesting Data...1549486561</v>
        <stp/>
        <stp>BDP|4688827611288153762</stp>
        <tr r="E188" s="2"/>
      </tp>
      <tp t="s">
        <v>#N/A Requesting Data...977536342</v>
        <stp/>
        <stp>BDP|2493411176467242438</stp>
        <tr r="AB20" s="1"/>
      </tp>
      <tp t="s">
        <v>#N/A Requesting Data...3919346436</v>
        <stp/>
        <stp>BDP|2323885392585951424</stp>
        <tr r="G133" s="2"/>
      </tp>
      <tp t="s">
        <v>#N/A Requesting Data...753178245</v>
        <stp/>
        <stp>BDP|3257060262212137551</stp>
        <tr r="AB69" s="1"/>
      </tp>
      <tp t="s">
        <v>#N/A Requesting Data...1277338466</v>
        <stp/>
        <stp>BDP|3745758990228907799</stp>
        <tr r="F220" s="2"/>
      </tp>
      <tp t="s">
        <v>#N/A Requesting Data...3038318753</v>
        <stp/>
        <stp>BDP|7091217772817608770</stp>
        <tr r="F387" s="2"/>
      </tp>
      <tp t="s">
        <v>#N/A Requesting Data...1748949273</v>
        <stp/>
        <stp>BDP|5633113241265494713</stp>
        <tr r="AA103" s="1"/>
      </tp>
      <tp t="s">
        <v>#N/A Requesting Data...2864297502</v>
        <stp/>
        <stp>BDP|3991212939462572272</stp>
        <tr r="E503" s="2"/>
      </tp>
      <tp t="s">
        <v>#N/A Requesting Data...1670936021</v>
        <stp/>
        <stp>BDP|8113388698144729450</stp>
        <tr r="F571" s="2"/>
      </tp>
      <tp t="s">
        <v>#N/A Requesting Data...3016340370</v>
        <stp/>
        <stp>BDP|4043970943069457231</stp>
        <tr r="F285" s="2"/>
      </tp>
      <tp t="s">
        <v>#N/A Requesting Data...1484572849</v>
        <stp/>
        <stp>BDP|6824948336049339792</stp>
        <tr r="G422" s="2"/>
      </tp>
      <tp t="s">
        <v>#N/A Requesting Data...1868033764</v>
        <stp/>
        <stp>BDP|6824564109461055079</stp>
        <tr r="F611" s="2"/>
      </tp>
      <tp t="s">
        <v>#N/A Requesting Data...1404455562</v>
        <stp/>
        <stp>BDP|3700118594378291102</stp>
        <tr r="F252" s="2"/>
      </tp>
      <tp t="s">
        <v>#N/A Requesting Data...2809116140</v>
        <stp/>
        <stp>BDP|4233067002375337356</stp>
        <tr r="F477" s="2"/>
      </tp>
      <tp t="s">
        <v>#N/A Requesting Data...1824747357</v>
        <stp/>
        <stp>BDP|9645280938458349251</stp>
        <tr r="G29" s="2"/>
      </tp>
      <tp t="s">
        <v>#N/A Requesting Data...2643227517</v>
        <stp/>
        <stp>BDP|5004124737391473415</stp>
        <tr r="E203" s="2"/>
      </tp>
      <tp t="s">
        <v>#N/A Requesting Data...2623164527</v>
        <stp/>
        <stp>BDP|7543750856900007775</stp>
        <tr r="E217" s="2"/>
      </tp>
      <tp t="s">
        <v>#N/A Requesting Data...4138331751</v>
        <stp/>
        <stp>BDP|1523647028062822506</stp>
        <tr r="F326" s="2"/>
      </tp>
      <tp t="s">
        <v>#N/A Requesting Data...867885163</v>
        <stp/>
        <stp>BDP|5114829747939374265</stp>
        <tr r="H115" s="2"/>
      </tp>
      <tp t="s">
        <v>#N/A Requesting Data...3313563081</v>
        <stp/>
        <stp>BDP|6650958313805025914</stp>
        <tr r="Z56" s="1"/>
      </tp>
      <tp t="s">
        <v>#N/A Requesting Data...2986581371</v>
        <stp/>
        <stp>BDP|2965635690956967956</stp>
        <tr r="H56" s="2"/>
      </tp>
      <tp t="s">
        <v>#N/A Requesting Data...319936151</v>
        <stp/>
        <stp>BDP|9043902022913122351</stp>
        <tr r="H304" s="2"/>
      </tp>
      <tp t="s">
        <v>#N/A Requesting Data...739250420</v>
        <stp/>
        <stp>BDP|9944036682551905279</stp>
        <tr r="E206" s="2"/>
      </tp>
      <tp t="s">
        <v>#N/A Requesting Data...1233386694</v>
        <stp/>
        <stp>BDP|4570874853239499238</stp>
        <tr r="F535" s="2"/>
      </tp>
      <tp t="s">
        <v>#N/A Requesting Data...825559169</v>
        <stp/>
        <stp>BDP|5105573229136968607</stp>
        <tr r="H218" s="2"/>
      </tp>
      <tp t="s">
        <v>#N/A Requesting Data...1967838855</v>
        <stp/>
        <stp>BDP|2719270137367939683</stp>
        <tr r="G538" s="2"/>
      </tp>
      <tp t="s">
        <v>#N/A Requesting Data...1738902111</v>
        <stp/>
        <stp>BDP|5959331201116926242</stp>
        <tr r="F79" s="2"/>
      </tp>
      <tp t="s">
        <v>#N/A Requesting Data...2342003864</v>
        <stp/>
        <stp>BDP|7707345804613876590</stp>
        <tr r="E418" s="2"/>
      </tp>
      <tp t="s">
        <v>#N/A Requesting Data...1244047520</v>
        <stp/>
        <stp>BDP|2858826895545896407</stp>
        <tr r="F484" s="2"/>
      </tp>
      <tp t="s">
        <v>#N/A Requesting Data...168010817</v>
        <stp/>
        <stp>BDP|9738269987393108204</stp>
        <tr r="F77" s="2"/>
      </tp>
      <tp t="s">
        <v>#N/A Requesting Data...542556012</v>
        <stp/>
        <stp>BDP|5508664306184536577</stp>
        <tr r="AB30" s="1"/>
      </tp>
      <tp t="s">
        <v>#N/A Requesting Data...983613511</v>
        <stp/>
        <stp>BDP|8404970763253368645</stp>
        <tr r="F201" s="2"/>
      </tp>
      <tp t="s">
        <v>#N/A Requesting Data...1963808807</v>
        <stp/>
        <stp>BDP|1183142410917262406</stp>
        <tr r="F121" s="2"/>
      </tp>
      <tp t="s">
        <v>#N/A Requesting Data...673644630</v>
        <stp/>
        <stp>BDP|8327764587087301265</stp>
        <tr r="F398" s="2"/>
      </tp>
      <tp t="s">
        <v>#N/A Requesting Data...256345899</v>
        <stp/>
        <stp>BDP|1367636236971287733</stp>
        <tr r="G599" s="2"/>
      </tp>
      <tp t="s">
        <v>#N/A Requesting Data...330427344</v>
        <stp/>
        <stp>BDP|8821364084255866454</stp>
        <tr r="H327" s="2"/>
      </tp>
      <tp t="s">
        <v>#N/A Requesting Data...298583519</v>
        <stp/>
        <stp>BDP|1626623264952173156</stp>
        <tr r="G380" s="2"/>
      </tp>
      <tp t="s">
        <v>#N/A Requesting Data...3727019632</v>
        <stp/>
        <stp>BDP|9566912497032783904</stp>
        <tr r="E42" s="2"/>
      </tp>
      <tp t="s">
        <v>#N/A Requesting Data...3796950621</v>
        <stp/>
        <stp>BDP|4596614900069673962</stp>
        <tr r="H177" s="2"/>
      </tp>
      <tp t="s">
        <v>#N/A Requesting Data...3498740035</v>
        <stp/>
        <stp>BDP|5016980702848978673</stp>
        <tr r="E373" s="2"/>
      </tp>
      <tp t="s">
        <v>#N/A Requesting Data...598294244</v>
        <stp/>
        <stp>BDP|3282944881140584068</stp>
        <tr r="AA12" s="1"/>
      </tp>
      <tp t="s">
        <v>#N/A Requesting Data...198496204</v>
        <stp/>
        <stp>BDP|1366141392952205932</stp>
        <tr r="AB86" s="1"/>
      </tp>
      <tp t="s">
        <v>#N/A Requesting Data...260954297</v>
        <stp/>
        <stp>BDP|3180532710221348452</stp>
        <tr r="E255" s="2"/>
      </tp>
      <tp t="s">
        <v>#N/A Requesting Data...537849490</v>
        <stp/>
        <stp>BDP|9684446590257748118</stp>
        <tr r="F304" s="2"/>
      </tp>
      <tp t="s">
        <v>#N/A Requesting Data...1114767593</v>
        <stp/>
        <stp>BDP|8343414296036049106</stp>
        <tr r="E517" s="2"/>
      </tp>
      <tp t="s">
        <v>#N/A Requesting Data...1624458312</v>
        <stp/>
        <stp>BDP|3964469054635902570</stp>
        <tr r="G474" s="2"/>
      </tp>
      <tp t="s">
        <v>#N/A Requesting Data...1533556356</v>
        <stp/>
        <stp>BDP|7076461344231798403</stp>
        <tr r="H592" s="2"/>
      </tp>
      <tp t="s">
        <v>#N/A Requesting Data...2957400513</v>
        <stp/>
        <stp>BDP|4515847990090720735</stp>
        <tr r="F448" s="2"/>
      </tp>
      <tp t="s">
        <v>#N/A Requesting Data...2487774616</v>
        <stp/>
        <stp>BDP|3142265521258249916</stp>
        <tr r="G335" s="2"/>
      </tp>
      <tp t="s">
        <v>#N/A Requesting Data...2968462365</v>
        <stp/>
        <stp>BDP|1830813488351609223</stp>
        <tr r="H134" s="2"/>
      </tp>
      <tp t="s">
        <v>#N/A Requesting Data...3563473047</v>
        <stp/>
        <stp>BDP|1459003022481765041</stp>
        <tr r="AB43" s="1"/>
      </tp>
      <tp t="s">
        <v>#N/A Requesting Data...1912858256</v>
        <stp/>
        <stp>BDP|3524127235583464033</stp>
        <tr r="G86" s="2"/>
      </tp>
      <tp t="s">
        <v>#N/A Requesting Data...2107421267</v>
        <stp/>
        <stp>BDP|8109182328960810830</stp>
        <tr r="F382" s="2"/>
      </tp>
      <tp t="s">
        <v>#N/A Requesting Data...2636927461</v>
        <stp/>
        <stp>BDP|6134028483525398896</stp>
        <tr r="H454" s="2"/>
      </tp>
      <tp t="s">
        <v>#N/A Requesting Data...319074274</v>
        <stp/>
        <stp>BDP|1155275578227160054</stp>
        <tr r="E65" s="2"/>
      </tp>
      <tp t="s">
        <v>#N/A Requesting Data...1376495132</v>
        <stp/>
        <stp>BDP|1983405365678291841</stp>
        <tr r="E620" s="2"/>
      </tp>
      <tp t="s">
        <v>#N/A Requesting Data...3386551546</v>
        <stp/>
        <stp>BDP|1098445201386841060</stp>
        <tr r="G617" s="2"/>
      </tp>
      <tp t="s">
        <v>#N/A Requesting Data...4192182138</v>
        <stp/>
        <stp>BDP|8994618182680246539</stp>
        <tr r="Z66" s="1"/>
      </tp>
      <tp t="s">
        <v>#N/A Requesting Data...3418905024</v>
        <stp/>
        <stp>BDP|9126223505540595883</stp>
        <tr r="H148" s="2"/>
      </tp>
      <tp t="s">
        <v>#N/A Requesting Data...3920521580</v>
        <stp/>
        <stp>BDP|4641687970796639035</stp>
        <tr r="G166" s="2"/>
      </tp>
      <tp t="s">
        <v>#N/A Requesting Data...1126669369</v>
        <stp/>
        <stp>BDP|7384020003825963102</stp>
        <tr r="G437" s="2"/>
      </tp>
      <tp t="s">
        <v>#N/A Requesting Data...651759529</v>
        <stp/>
        <stp>BDP|6540265739425168107</stp>
        <tr r="F75" s="2"/>
      </tp>
      <tp t="s">
        <v>#N/A Requesting Data...285246279</v>
        <stp/>
        <stp>BDP|7946229211567007021</stp>
        <tr r="H399" s="2"/>
      </tp>
      <tp t="s">
        <v>#N/A Requesting Data...2120066039</v>
        <stp/>
        <stp>BDP|5708339769074558707</stp>
        <tr r="G122" s="2"/>
      </tp>
      <tp t="s">
        <v>#N/A Requesting Data...588875549</v>
        <stp/>
        <stp>BDP|6387707830247809639</stp>
        <tr r="E247" s="2"/>
      </tp>
      <tp t="s">
        <v>#N/A Requesting Data...2575233482</v>
        <stp/>
        <stp>BDP|8310559494137389097</stp>
        <tr r="E122" s="2"/>
      </tp>
      <tp t="s">
        <v>#N/A Requesting Data...423279411</v>
        <stp/>
        <stp>BDP|3273431769542289030</stp>
        <tr r="H81" s="2"/>
      </tp>
      <tp t="s">
        <v>#N/A Requesting Data...1488801044</v>
        <stp/>
        <stp>BDP|3690281016181249237</stp>
        <tr r="AB11" s="1"/>
      </tp>
      <tp t="s">
        <v>#N/A Requesting Data...905233615</v>
        <stp/>
        <stp>BDP|5364942092295414386</stp>
        <tr r="AA104" s="1"/>
      </tp>
      <tp t="s">
        <v>#N/A Requesting Data...704612774</v>
        <stp/>
        <stp>BDP|3295628512540805731</stp>
        <tr r="G70" s="2"/>
      </tp>
      <tp t="s">
        <v>#N/A Requesting Data...2061196442</v>
        <stp/>
        <stp>BDP|5784751686329879059</stp>
        <tr r="H385" s="2"/>
      </tp>
      <tp t="s">
        <v>#N/A Requesting Data...3383788184</v>
        <stp/>
        <stp>BDP|6126600046193872463</stp>
        <tr r="G248" s="2"/>
      </tp>
      <tp t="s">
        <v>#N/A Requesting Data...237783863</v>
        <stp/>
        <stp>BDP|1906136941622752552</stp>
        <tr r="F183" s="2"/>
      </tp>
      <tp t="s">
        <v>#N/A Requesting Data...3447286852</v>
        <stp/>
        <stp>BDP|5312530445891994629</stp>
        <tr r="H545" s="2"/>
      </tp>
      <tp t="s">
        <v>#N/A Requesting Data...1679886712</v>
        <stp/>
        <stp>BDP|9575825861337003389</stp>
        <tr r="AB103" s="1"/>
      </tp>
      <tp t="s">
        <v>#N/A Requesting Data...684360847</v>
        <stp/>
        <stp>BDP|6385342944363939147</stp>
        <tr r="F48" s="2"/>
      </tp>
      <tp t="s">
        <v>#N/A Requesting Data...3152615677</v>
        <stp/>
        <stp>BDP|8682097091291657366</stp>
        <tr r="H527" s="2"/>
      </tp>
      <tp t="s">
        <v>#N/A Requesting Data...3778101306</v>
        <stp/>
        <stp>BDP|4131613420227759496</stp>
        <tr r="G483" s="2"/>
      </tp>
      <tp t="s">
        <v>#N/A Requesting Data...3351742057</v>
        <stp/>
        <stp>BDP|2373807072816710889</stp>
        <tr r="E196" s="2"/>
      </tp>
      <tp t="s">
        <v>#N/A Requesting Data...2914097701</v>
        <stp/>
        <stp>BDP|3400789569960829134</stp>
        <tr r="G396" s="2"/>
      </tp>
      <tp t="s">
        <v>#N/A Requesting Data...1085032358</v>
        <stp/>
        <stp>BDP|7085396062437542617</stp>
        <tr r="Z17" s="1"/>
      </tp>
      <tp t="s">
        <v>#N/A Requesting Data...1099576754</v>
        <stp/>
        <stp>BDP|6426245111876620082</stp>
        <tr r="G529" s="2"/>
        <tr r="G632" s="2"/>
        <tr r="G636" s="2"/>
      </tp>
      <tp t="s">
        <v>#N/A Requesting Data...3748652026</v>
        <stp/>
        <stp>BDP|4237641554565838155</stp>
        <tr r="F272" s="2"/>
      </tp>
      <tp t="s">
        <v>#N/A Requesting Data...2294247476</v>
        <stp/>
        <stp>BDP|5414111733325812115</stp>
        <tr r="E565" s="2"/>
      </tp>
      <tp t="s">
        <v>#N/A Requesting Data...4262222088</v>
        <stp/>
        <stp>BDP|6830783265036838224</stp>
        <tr r="G74" s="2"/>
      </tp>
      <tp t="s">
        <v>#N/A Requesting Data...701271997</v>
        <stp/>
        <stp>BDP|4625381008975322196</stp>
        <tr r="AA42" s="1"/>
      </tp>
      <tp t="s">
        <v>#N/A Requesting Data...2700234578</v>
        <stp/>
        <stp>BDP|6025044494528991443</stp>
        <tr r="F97" s="2"/>
      </tp>
      <tp t="s">
        <v>#N/A Requesting Data...2247380886</v>
        <stp/>
        <stp>BDP|2878509152941619016</stp>
        <tr r="G268" s="2"/>
      </tp>
      <tp t="s">
        <v>#N/A Requesting Data...1726307275</v>
        <stp/>
        <stp>BDP|3756791567739241865</stp>
        <tr r="E441" s="2"/>
      </tp>
      <tp t="s">
        <v>#N/A Requesting Data...1931419130</v>
        <stp/>
        <stp>BDP|4856282678545758725</stp>
        <tr r="E150" s="2"/>
      </tp>
      <tp t="s">
        <v>#N/A Requesting Data...3854395769</v>
        <stp/>
        <stp>BDP|4584291573253550178</stp>
        <tr r="E563" s="2"/>
      </tp>
      <tp t="s">
        <v>#N/A Requesting Data...2881463333</v>
        <stp/>
        <stp>BDP|4670956386035583320</stp>
        <tr r="G416" s="2"/>
      </tp>
      <tp t="s">
        <v>#N/A Requesting Data...3864400273</v>
        <stp/>
        <stp>BDP|4432589869626021277</stp>
        <tr r="E202" s="2"/>
      </tp>
      <tp t="s">
        <v>#N/A Requesting Data...2422781080</v>
        <stp/>
        <stp>BDP|7419432459785815044</stp>
        <tr r="E37" s="2"/>
      </tp>
      <tp t="s">
        <v>#N/A Requesting Data...237059349</v>
        <stp/>
        <stp>BDP|2432552714512706705</stp>
        <tr r="E44" s="2"/>
      </tp>
      <tp t="s">
        <v>#N/A Requesting Data...4266004829</v>
        <stp/>
        <stp>BDP|6946145048643343343</stp>
        <tr r="G466" s="2"/>
      </tp>
      <tp t="s">
        <v>#N/A Requesting Data...333560389</v>
        <stp/>
        <stp>BDP|3124324595848113247</stp>
        <tr r="F300" s="2"/>
      </tp>
      <tp t="s">
        <v>#N/A Requesting Data...207147417</v>
        <stp/>
        <stp>BDP|8349593700826923807</stp>
        <tr r="H355" s="2"/>
      </tp>
      <tp t="s">
        <v>#N/A Requesting Data...3909653706</v>
        <stp/>
        <stp>BDP|8955906723321195187</stp>
        <tr r="F221" s="2"/>
      </tp>
      <tp t="s">
        <v>#N/A Requesting Data...2917424367</v>
        <stp/>
        <stp>BDP|6021788875825726093</stp>
        <tr r="E363" s="2"/>
      </tp>
      <tp t="s">
        <v>#N/A Requesting Data...3090048260</v>
        <stp/>
        <stp>BDP|3071295600071298389</stp>
        <tr r="G299" s="2"/>
      </tp>
      <tp t="s">
        <v>#N/A Requesting Data...450433204</v>
        <stp/>
        <stp>BDP|5982662530207730485</stp>
        <tr r="F533" s="2"/>
      </tp>
      <tp t="s">
        <v>#N/A Requesting Data...1686463454</v>
        <stp/>
        <stp>BDP|7220470199051922851</stp>
        <tr r="G110" s="2"/>
      </tp>
      <tp t="s">
        <v>#N/A Requesting Data...1115346171</v>
        <stp/>
        <stp>BDP|6874472821002638186</stp>
        <tr r="F550" s="2"/>
      </tp>
      <tp t="s">
        <v>#N/A Requesting Data...1253038223</v>
        <stp/>
        <stp>BDP|8139587687715975371</stp>
        <tr r="H21" s="2"/>
      </tp>
      <tp t="s">
        <v>#N/A Requesting Data...3714283820</v>
        <stp/>
        <stp>BDP|2306702781447261907</stp>
        <tr r="E568" s="2"/>
      </tp>
      <tp t="s">
        <v>#N/A Requesting Data...501690758</v>
        <stp/>
        <stp>BDP|5675635159676458386</stp>
        <tr r="E574" s="2"/>
      </tp>
      <tp t="s">
        <v>#N/A Requesting Data...3394941557</v>
        <stp/>
        <stp>BDP|4046769874004795352</stp>
        <tr r="H283" s="2"/>
      </tp>
      <tp t="s">
        <v>#N/A Requesting Data...3178480219</v>
        <stp/>
        <stp>BDP|9846420471358890126</stp>
        <tr r="E319" s="2"/>
      </tp>
      <tp t="s">
        <v>#N/A Requesting Data...3776871193</v>
        <stp/>
        <stp>BDP|1561453151034599754</stp>
        <tr r="F511" s="2"/>
      </tp>
      <tp t="s">
        <v>#N/A Requesting Data...1746295058</v>
        <stp/>
        <stp>BDP|3515025892888778130</stp>
        <tr r="G401" s="2"/>
      </tp>
      <tp t="s">
        <v>#N/A Requesting Data...356468597</v>
        <stp/>
        <stp>BDP|2455029806436234736</stp>
        <tr r="E495" s="2"/>
      </tp>
      <tp t="s">
        <v>#N/A Requesting Data...2399382063</v>
        <stp/>
        <stp>BDP|4789635222336754504</stp>
        <tr r="F34" s="2"/>
      </tp>
      <tp t="s">
        <v>#N/A Requesting Data...559574640</v>
        <stp/>
        <stp>BDP|4673210870460379253</stp>
        <tr r="G182" s="2"/>
      </tp>
      <tp t="s">
        <v>#N/A Requesting Data...1743437965</v>
        <stp/>
        <stp>BDP|6571729076287343240</stp>
        <tr r="F148" s="2"/>
      </tp>
      <tp t="s">
        <v>#N/A Requesting Data...1181095794</v>
        <stp/>
        <stp>BDP|1762099226338662881</stp>
        <tr r="AA4" s="1"/>
      </tp>
      <tp t="s">
        <v>#N/A Requesting Data...3662633820</v>
        <stp/>
        <stp>BDP|7179665172387785247</stp>
        <tr r="F231" s="2"/>
      </tp>
      <tp t="s">
        <v>#N/A Requesting Data...3124177765</v>
        <stp/>
        <stp>BDP|2590595578992225105</stp>
        <tr r="E31" s="2"/>
      </tp>
      <tp t="s">
        <v>#N/A Requesting Data...4025371961</v>
        <stp/>
        <stp>BDP|2619190750711056491</stp>
        <tr r="E243" s="2"/>
      </tp>
      <tp t="s">
        <v>#N/A Requesting Data...1768779215</v>
        <stp/>
        <stp>BDP|4362781701073839346</stp>
        <tr r="E137" s="2"/>
      </tp>
      <tp t="s">
        <v>#N/A Requesting Data...1547015229</v>
        <stp/>
        <stp>BDP|3748361072693528704</stp>
        <tr r="E157" s="2"/>
      </tp>
      <tp t="s">
        <v>#N/A Requesting Data...3161695050</v>
        <stp/>
        <stp>BDP|6392998531249551681</stp>
        <tr r="F615" s="2"/>
      </tp>
      <tp t="s">
        <v>#N/A Requesting Data...1670979391</v>
        <stp/>
        <stp>BDP|2671505636493352454</stp>
        <tr r="G436" s="2"/>
      </tp>
      <tp t="s">
        <v>#N/A Requesting Data...3502129275</v>
        <stp/>
        <stp>BDP|1052125434596301632</stp>
        <tr r="F258" s="2"/>
      </tp>
      <tp t="s">
        <v>#N/A Requesting Data...973782874</v>
        <stp/>
        <stp>BDP|3137598761167602482</stp>
        <tr r="AB93" s="1"/>
      </tp>
      <tp t="s">
        <v>#N/A Requesting Data...2789124215</v>
        <stp/>
        <stp>BDP|9599802086539359373</stp>
        <tr r="AB23" s="1"/>
      </tp>
      <tp t="s">
        <v>#N/A Requesting Data...3731833377</v>
        <stp/>
        <stp>BDP|9364149273035260916</stp>
        <tr r="F219" s="2"/>
      </tp>
      <tp t="s">
        <v>#N/A Requesting Data...2873631748</v>
        <stp/>
        <stp>BDP|9196910765972323711</stp>
        <tr r="Z63" s="1"/>
      </tp>
      <tp t="s">
        <v>#N/A Requesting Data...1079474935</v>
        <stp/>
        <stp>BDP|2541904184844494425</stp>
        <tr r="F189" s="2"/>
      </tp>
      <tp t="s">
        <v>#N/A Requesting Data...4078037824</v>
        <stp/>
        <stp>BDP|9758772387747924296</stp>
        <tr r="H514" s="2"/>
      </tp>
      <tp t="s">
        <v>#N/A Requesting Data...1738126634</v>
        <stp/>
        <stp>BDP|5539165966330259138</stp>
        <tr r="F150" s="2"/>
      </tp>
      <tp t="s">
        <v>#N/A Requesting Data...3716394410</v>
        <stp/>
        <stp>BDP|5880508106841903233</stp>
        <tr r="G511" s="2"/>
      </tp>
      <tp t="s">
        <v>#N/A Requesting Data...922802858</v>
        <stp/>
        <stp>BDP|5648727436271393353</stp>
        <tr r="F395" s="2"/>
      </tp>
      <tp t="s">
        <v>#N/A Requesting Data...3691945746</v>
        <stp/>
        <stp>BDP|3177073725963342144</stp>
        <tr r="G363" s="2"/>
      </tp>
      <tp t="s">
        <v>#N/A Requesting Data...2142301372</v>
        <stp/>
        <stp>BDP|3560017632143787059</stp>
        <tr r="H323" s="2"/>
      </tp>
      <tp t="s">
        <v>#N/A Requesting Data...2337916611</v>
        <stp/>
        <stp>BDP|6475888159729702168</stp>
        <tr r="G463" s="2"/>
      </tp>
      <tp t="s">
        <v>#N/A Requesting Data...3000288057</v>
        <stp/>
        <stp>BDP|7234732120588423915</stp>
        <tr r="F102" s="2"/>
      </tp>
      <tp t="s">
        <v>#N/A Requesting Data...2011795168</v>
        <stp/>
        <stp>BDP|8510186698500524347</stp>
        <tr r="E610" s="2"/>
      </tp>
      <tp t="s">
        <v>#N/A Requesting Data...362045109</v>
        <stp/>
        <stp>BDP|7756040164431443373</stp>
        <tr r="G227" s="2"/>
      </tp>
      <tp t="s">
        <v>#N/A Requesting Data...4033921049</v>
        <stp/>
        <stp>BDP|4189727955904111128</stp>
        <tr r="F83" s="2"/>
      </tp>
      <tp t="s">
        <v>#N/A Requesting Data...3301053548</v>
        <stp/>
        <stp>BDP|4263636234156695467</stp>
        <tr r="E522" s="2"/>
      </tp>
      <tp t="s">
        <v>#N/A Requesting Data...764896082</v>
        <stp/>
        <stp>BDP|4317411476155067117</stp>
        <tr r="G417" s="2"/>
      </tp>
      <tp t="s">
        <v>#N/A Requesting Data...2612293454</v>
        <stp/>
        <stp>BDP|4817711845047025391</stp>
        <tr r="E364" s="2"/>
      </tp>
      <tp t="s">
        <v>#N/A Requesting Data...3136430748</v>
        <stp/>
        <stp>BDP|3386123165601701669</stp>
        <tr r="F14" s="2"/>
      </tp>
      <tp t="s">
        <v>#N/A Requesting Data...1413365955</v>
        <stp/>
        <stp>BDP|5254336683015676813</stp>
        <tr r="Z67" s="1"/>
      </tp>
      <tp t="s">
        <v>#N/A Requesting Data...3256058008</v>
        <stp/>
        <stp>BDP|8307260733759665357</stp>
        <tr r="H49" s="2"/>
      </tp>
      <tp t="s">
        <v>#N/A Requesting Data...2151164019</v>
        <stp/>
        <stp>BDP|37104990342483399</stp>
        <tr r="AA27" s="1"/>
      </tp>
      <tp t="s">
        <v>#N/A Requesting Data...3865422183</v>
        <stp/>
        <stp>BDP|53384591015504206</stp>
        <tr r="Z48" s="1"/>
      </tp>
      <tp t="s">
        <v>#N/A Requesting Data...958126112</v>
        <stp/>
        <stp>BDP|28891151137008667</stp>
        <tr r="G226" s="2"/>
      </tp>
      <tp t="s">
        <v>#N/A Requesting Data...3227478820</v>
        <stp/>
        <stp>BDP|97335374160434898</stp>
        <tr r="G450" s="2"/>
      </tp>
      <tp t="s">
        <v>#N/A Requesting Data...2642477869</v>
        <stp/>
        <stp>BDP|10757909259175141</stp>
        <tr r="Z85" s="1"/>
      </tp>
      <tp t="s">
        <v>#N/A Requesting Data...959652249</v>
        <stp/>
        <stp>BDP|26626454257008475</stp>
        <tr r="E351" s="2"/>
      </tp>
      <tp t="s">
        <v>#N/A Requesting Data...1995758777</v>
        <stp/>
        <stp>BDP|43413961631405100</stp>
        <tr r="G331" s="2"/>
      </tp>
      <tp t="s">
        <v>#N/A Requesting Data...2242834386</v>
        <stp/>
        <stp>BDP|36643607025561761</stp>
        <tr r="F440" s="2"/>
      </tp>
      <tp t="s">
        <v>#N/A Requesting Data...1310787169</v>
        <stp/>
        <stp>BDP|46231783666301822</stp>
        <tr r="E20" s="2"/>
      </tp>
      <tp t="s">
        <v>#N/A Requesting Data...2101634736</v>
        <stp/>
        <stp>BDP|54045179628261878</stp>
        <tr r="G196" s="2"/>
      </tp>
      <tp t="s">
        <v>#N/A Requesting Data...2288504307</v>
        <stp/>
        <stp>BDP|88290401765722112</stp>
        <tr r="E237" s="2"/>
      </tp>
      <tp t="s">
        <v>#N/A Requesting Data...4121455333</v>
        <stp/>
        <stp>BDP|557731559754744358</stp>
        <tr r="H409" s="2"/>
      </tp>
      <tp t="s">
        <v>#N/A Requesting Data...1412533217</v>
        <stp/>
        <stp>BDP|838570413330046117</stp>
        <tr r="E375" s="2"/>
      </tp>
      <tp t="s">
        <v>#N/A Requesting Data...3527619911</v>
        <stp/>
        <stp>BDP|989310701620582625</stp>
        <tr r="F521" s="2"/>
      </tp>
      <tp t="s">
        <v>#N/A Requesting Data...2080147895</v>
        <stp/>
        <stp>BDP|122470319901889195</stp>
        <tr r="F474" s="2"/>
      </tp>
      <tp t="s">
        <v>#N/A Requesting Data...3510692148</v>
        <stp/>
        <stp>BDP|342558669414859261</stp>
        <tr r="F273" s="2"/>
      </tp>
      <tp t="s">
        <v>#N/A Requesting Data...1905148771</v>
        <stp/>
        <stp>BDP|258285989849058629</stp>
        <tr r="G203" s="2"/>
      </tp>
      <tp t="s">
        <v>#N/A Requesting Data...2814916040</v>
        <stp/>
        <stp>BDP|213408249477130285</stp>
        <tr r="E533" s="2"/>
      </tp>
      <tp t="s">
        <v>#N/A Requesting Data...1771483999</v>
        <stp/>
        <stp>BDP|797660206640329361</stp>
        <tr r="F547" s="2"/>
      </tp>
      <tp t="s">
        <v>#N/A Requesting Data...866732835</v>
        <stp/>
        <stp>BDP|698797560554931045</stp>
        <tr r="E544" s="2"/>
      </tp>
      <tp t="s">
        <v>#N/A Requesting Data...2530643580</v>
        <stp/>
        <stp>BDP|166862242848493133</stp>
        <tr r="F44" s="2"/>
      </tp>
      <tp t="s">
        <v>#N/A Requesting Data...316251612</v>
        <stp/>
        <stp>BDP|357946218844272806</stp>
        <tr r="G130" s="2"/>
      </tp>
      <tp t="s">
        <v>#N/A Requesting Data...370273409</v>
        <stp/>
        <stp>BDP|826669107131629328</stp>
        <tr r="G24" s="2"/>
      </tp>
      <tp t="s">
        <v>#N/A Requesting Data...2263551945</v>
        <stp/>
        <stp>BDP|774173709801527437</stp>
        <tr r="H522" s="2"/>
      </tp>
      <tp t="s">
        <v>#N/A Requesting Data...3017628019</v>
        <stp/>
        <stp>BDP|470451890101888831</stp>
        <tr r="H406" s="2"/>
      </tp>
      <tp t="s">
        <v>#N/A Requesting Data...2451109978</v>
        <stp/>
        <stp>BDP|249974802994434995</stp>
        <tr r="G400" s="2"/>
      </tp>
      <tp t="s">
        <v>#N/A Requesting Data...2776904869</v>
        <stp/>
        <stp>BDP|642743269134723168</stp>
        <tr r="E534" s="2"/>
      </tp>
      <tp t="s">
        <v>#N/A Requesting Data...1503501814</v>
        <stp/>
        <stp>BDP|475847257829781067</stp>
        <tr r="H486" s="2"/>
      </tp>
      <tp t="s">
        <v>#N/A Requesting Data...1539136449</v>
        <stp/>
        <stp>BDP|293829682294471012</stp>
        <tr r="F419" s="2"/>
      </tp>
      <tp t="s">
        <v>#N/A Requesting Data...1491954046</v>
        <stp/>
        <stp>BDP|331153129050708799</stp>
        <tr r="F526" s="2"/>
      </tp>
      <tp t="s">
        <v>#N/A Requesting Data...2491903140</v>
        <stp/>
        <stp>BDP|860127663177875407</stp>
        <tr r="G92" s="2"/>
      </tp>
      <tp t="s">
        <v>#N/A Requesting Data...1735412195</v>
        <stp/>
        <stp>BDP|872676976814924126</stp>
        <tr r="E478" s="2"/>
      </tp>
      <tp t="s">
        <v>#N/A Requesting Data...716794363</v>
        <stp/>
        <stp>BDP|819187302866763365</stp>
        <tr r="E87" s="2"/>
      </tp>
      <tp t="s">
        <v>#N/A Requesting Data...1030522641</v>
        <stp/>
        <stp>BDP|970293136400929639</stp>
        <tr r="F379" s="2"/>
      </tp>
      <tp t="s">
        <v>#N/A Requesting Data...1970438291</v>
        <stp/>
        <stp>BDP|111893592312339400</stp>
        <tr r="AA16" s="1"/>
      </tp>
      <tp t="s">
        <v>#N/A Requesting Data...363905028</v>
        <stp/>
        <stp>BDP|186442247597143086</stp>
        <tr r="F570" s="2"/>
      </tp>
      <tp t="s">
        <v>#N/A Requesting Data...724976549</v>
        <stp/>
        <stp>BDP|535859214129099733</stp>
        <tr r="F10" s="2"/>
      </tp>
      <tp t="s">
        <v>#N/A Requesting Data...304320560</v>
        <stp/>
        <stp>BDP|755131572735144401</stp>
        <tr r="G116" s="2"/>
      </tp>
      <tp t="s">
        <v>#N/A Requesting Data...2537480657</v>
        <stp/>
        <stp>BDP|423435741192550509</stp>
        <tr r="F301" s="2"/>
      </tp>
      <tp t="s">
        <v>#N/A Requesting Data...2880098072</v>
        <stp/>
        <stp>BDP|818520824840804055</stp>
        <tr r="F40" s="2"/>
      </tp>
      <tp t="s">
        <v>#N/A Requesting Data...3916825818</v>
        <stp/>
        <stp>BDP|728308913051097503</stp>
        <tr r="G109" s="2"/>
      </tp>
      <tp t="s">
        <v>#N/A Requesting Data...1737019261</v>
        <stp/>
        <stp>BDP|629739012921503176</stp>
        <tr r="F614" s="2"/>
      </tp>
      <tp t="s">
        <v>#N/A Requesting Data...3406076306</v>
        <stp/>
        <stp>BDP|557004913762887586</stp>
        <tr r="H150" s="2"/>
      </tp>
      <tp t="s">
        <v>#N/A Requesting Data...2505956237</v>
        <stp/>
        <stp>BDP|907501134908961823</stp>
        <tr r="H221" s="2"/>
      </tp>
      <tp t="s">
        <v>#N/A Requesting Data...2978011490</v>
        <stp/>
        <stp>BDP|346422477930280544</stp>
        <tr r="E222" s="2"/>
      </tp>
      <tp t="s">
        <v>#N/A Requesting Data...1357786479</v>
        <stp/>
        <stp>BDP|758908982680497733</stp>
        <tr r="G375" s="2"/>
      </tp>
      <tp t="s">
        <v>#N/A Requesting Data...2372945796</v>
        <stp/>
        <stp>BDP|714778000130084124</stp>
        <tr r="H508" s="2"/>
      </tp>
      <tp t="s">
        <v>#N/A Requesting Data...1844054123</v>
        <stp/>
        <stp>BDP|366419121356383634</stp>
        <tr r="G550" s="2"/>
      </tp>
      <tp t="s">
        <v>#N/A Requesting Data...3358322006</v>
        <stp/>
        <stp>BDP|580587700970602382</stp>
        <tr r="E119" s="2"/>
      </tp>
      <tp t="s">
        <v>#N/A Requesting Data...1404929285</v>
        <stp/>
        <stp>BDP|527098923340626359</stp>
        <tr r="F336" s="2"/>
      </tp>
      <tp t="s">
        <v>#N/A Requesting Data...1702623872</v>
        <stp/>
        <stp>BDP|457121561252901423</stp>
        <tr r="E190" s="2"/>
      </tp>
      <tp t="s">
        <v>#N/A Requesting Data...3630975772</v>
        <stp/>
        <stp>BDP|706062716354821462</stp>
        <tr r="F185" s="2"/>
      </tp>
      <tp t="s">
        <v>#N/A Requesting Data...1680476041</v>
        <stp/>
        <stp>BDP|839549479315468657</stp>
        <tr r="F486" s="2"/>
      </tp>
      <tp t="s">
        <v>#N/A Requesting Data...4288932918</v>
        <stp/>
        <stp>BDP|478942426512423875</stp>
        <tr r="E302" s="2"/>
      </tp>
      <tp t="s">
        <v>#N/A Requesting Data...2695678423</v>
        <stp/>
        <stp>BDP|217874860166310905</stp>
        <tr r="F35" s="2"/>
      </tp>
      <tp t="s">
        <v>#N/A Requesting Data...2321039903</v>
        <stp/>
        <stp>BDP|474713847406583471</stp>
        <tr r="F248" s="2"/>
      </tp>
      <tp t="s">
        <v>#N/A Requesting Data...1140635957</v>
        <stp/>
        <stp>BDP|730438608614801156</stp>
        <tr r="G427" s="2"/>
      </tp>
      <tp t="s">
        <v>#N/A Requesting Data...937635252</v>
        <stp/>
        <stp>BDP|684438935440267635</stp>
        <tr r="H584" s="2"/>
      </tp>
      <tp t="s">
        <v>#N/A Requesting Data...3369364039</v>
        <stp/>
        <stp>BDP|394128773537480044</stp>
        <tr r="E94" s="2"/>
      </tp>
      <tp t="s">
        <v>#N/A Requesting Data...2621462662</v>
        <stp/>
        <stp>BDP|134273340320960616</stp>
        <tr r="E518" s="2"/>
      </tp>
      <tp t="s">
        <v>#N/A Requesting Data...945524198</v>
        <stp/>
        <stp>BDP|808584757966641696</stp>
        <tr r="AA45" s="1"/>
      </tp>
      <tp t="s">
        <v>#N/A Requesting Data...761706484</v>
        <stp/>
        <stp>BDP|805594132513355584</stp>
        <tr r="E161" s="2"/>
      </tp>
      <tp t="s">
        <v>#N/A Requesting Data...2845907050</v>
        <stp/>
        <stp>BDP|656739228517083273</stp>
        <tr r="H224" s="2"/>
      </tp>
      <tp t="s">
        <v>#N/A Requesting Data...2782272895</v>
        <stp/>
        <stp>BDP|582903797083988312</stp>
        <tr r="H70" s="2"/>
      </tp>
      <tp t="s">
        <v>#N/A Requesting Data...3740374947</v>
        <stp/>
        <stp>BDP|560266730868970914</stp>
        <tr r="AA24" s="1"/>
      </tp>
      <tp t="s">
        <v>#N/A Requesting Data...1514005289</v>
        <stp/>
        <stp>BDP|540537954857265778</stp>
        <tr r="F281" s="2"/>
      </tp>
      <tp t="s">
        <v>#N/A Requesting Data...1546927050</v>
        <stp/>
        <stp>BDP|692144097140765821</stp>
        <tr r="G434" s="2"/>
      </tp>
      <tp t="s">
        <v>#N/A Requesting Data...2911127934</v>
        <stp/>
        <stp>BDP|541608685299967786</stp>
        <tr r="H241" s="2"/>
      </tp>
      <tp t="s">
        <v>#N/A Requesting Data...1071662603</v>
        <stp/>
        <stp>BDP|264462276454250721</stp>
        <tr r="G455" s="2"/>
      </tp>
      <tp t="s">
        <v>#N/A Requesting Data...4231918114</v>
        <stp/>
        <stp>BDP|625664433647520255</stp>
        <tr r="G192" s="2"/>
      </tp>
      <tp t="s">
        <v>#N/A Requesting Data...1085829026</v>
        <stp/>
        <stp>BDP|646630824975437297</stp>
        <tr r="F582" s="2"/>
      </tp>
      <tp t="s">
        <v>#N/A Requesting Data...852419831</v>
        <stp/>
        <stp>BDP|222560329005046131</stp>
        <tr r="G493" s="2"/>
      </tp>
      <tp t="s">
        <v>#N/A Requesting Data...4254212373</v>
        <stp/>
        <stp>BDP|696582635017636245</stp>
        <tr r="F339" s="2"/>
      </tp>
      <tp t="s">
        <v>#N/A Requesting Data...1562899508</v>
        <stp/>
        <stp>BDP|878172220679913924</stp>
        <tr r="E357" s="2"/>
      </tp>
      <tp t="s">
        <v>#N/A Requesting Data...1640389400</v>
        <stp/>
        <stp>BDP|524870659209891746</stp>
        <tr r="E479" s="2"/>
      </tp>
      <tp t="s">
        <v>#N/A Requesting Data...2446549244</v>
        <stp/>
        <stp>BDP|693071862263118615</stp>
        <tr r="H63" s="2"/>
      </tp>
      <tp t="s">
        <v>#N/A Requesting Data...4090606398</v>
        <stp/>
        <stp>BDP|723567980096730852</stp>
        <tr r="G598" s="2"/>
      </tp>
      <tp t="s">
        <v>#N/A Requesting Data...2701762194</v>
        <stp/>
        <stp>BDP|646705848186390738</stp>
        <tr r="E314" s="2"/>
      </tp>
      <tp t="s">
        <v>#N/A Requesting Data...3639603903</v>
        <stp/>
        <stp>BDP|924580553652810036</stp>
        <tr r="F341" s="2"/>
      </tp>
      <tp t="s">
        <v>#N/A Requesting Data...3122040146</v>
        <stp/>
        <stp>BDP|238812088293295135</stp>
        <tr r="F106" s="2"/>
      </tp>
      <tp t="s">
        <v>#N/A Requesting Data...3454853278</v>
        <stp/>
        <stp>BDP|765249172496704126</stp>
        <tr r="G596" s="2"/>
      </tp>
      <tp t="s">
        <v>#N/A Requesting Data...1279497654</v>
        <stp/>
        <stp>BDP|281174506510182365</stp>
        <tr r="H320" s="2"/>
      </tp>
      <tp t="s">
        <v>#N/A Requesting Data...2488461198</v>
        <stp/>
        <stp>BDP|712737165024184701</stp>
        <tr r="G69" s="2"/>
      </tp>
      <tp t="s">
        <v>#N/A Requesting Data...2880019641</v>
        <stp/>
        <stp>BDP|469093030612497386</stp>
        <tr r="H153" s="2"/>
      </tp>
      <tp t="s">
        <v>#N/A Requesting Data...656350382</v>
        <stp/>
        <stp>BDP|340580901961118952</stp>
        <tr r="H303" s="2"/>
      </tp>
      <tp t="s">
        <v>#N/A Requesting Data...2138331041</v>
        <stp/>
        <stp>BDP|336837654363260393</stp>
        <tr r="E617" s="2"/>
      </tp>
      <tp t="s">
        <v>#N/A Requesting Data...437133236</v>
        <stp/>
        <stp>BDP|473780192026761513</stp>
        <tr r="G311" s="2"/>
      </tp>
      <tp t="s">
        <v>#N/A Requesting Data...3175712638</v>
        <stp/>
        <stp>BDP|735594221952004868</stp>
        <tr r="F340" s="2"/>
      </tp>
      <tp t="s">
        <v>#N/A Requesting Data...745047687</v>
        <stp/>
        <stp>BDP|997511305100839801</stp>
        <tr r="H412" s="2"/>
      </tp>
      <tp t="s">
        <v>#N/A Requesting Data...3893873298</v>
        <stp/>
        <stp>BDP|485860696955005948</stp>
        <tr r="H436" s="2"/>
      </tp>
      <tp t="s">
        <v>#N/A Requesting Data...2305015165</v>
        <stp/>
        <stp>BDP|694561092333616256</stp>
        <tr r="H540" s="2"/>
      </tp>
      <tp t="s">
        <v>#N/A Requesting Data...3895930805</v>
        <stp/>
        <stp>BDP|819906501957095245</stp>
        <tr r="F494" s="2"/>
      </tp>
      <tp t="s">
        <v>#N/A Requesting Data...4084806945</v>
        <stp/>
        <stp>BDP|271666553949943661</stp>
        <tr r="F492" s="2"/>
      </tp>
      <tp t="s">
        <v>#N/A Requesting Data...3690320245</v>
        <stp/>
        <stp>BDP|976679456438759750</stp>
        <tr r="H467" s="2"/>
      </tp>
      <tp t="s">
        <v>#N/A Requesting Data...905701091</v>
        <stp/>
        <stp>BDP|226640273718794560</stp>
        <tr r="H405" s="2"/>
      </tp>
      <tp t="s">
        <v>#N/A Requesting Data...3958398880</v>
        <stp/>
        <stp>BDP|549680408503535946</stp>
        <tr r="G56" s="2"/>
      </tp>
      <tp t="s">
        <v>#N/A Requesting Data...528014677</v>
        <stp/>
        <stp>BDP|298465995405421408</stp>
        <tr r="E111" s="2"/>
      </tp>
      <tp t="s">
        <v>#N/A Requesting Data...1323681856</v>
        <stp/>
        <stp>BDP|362674383354263604</stp>
        <tr r="H244" s="2"/>
      </tp>
      <tp t="s">
        <v>#N/A Requesting Data...2671997253</v>
        <stp/>
        <stp>BDP|285242990242653573</stp>
        <tr r="G306" s="2"/>
      </tp>
      <tp t="s">
        <v>#N/A Requesting Data...4055826176</v>
        <stp/>
        <stp>BDP|463246327299147519</stp>
        <tr r="Z71" s="1"/>
      </tp>
      <tp t="s">
        <v>#N/A Requesting Data...982640145</v>
        <stp/>
        <stp>BDP|852824150527377690</stp>
        <tr r="H450" s="2"/>
      </tp>
      <tp t="s">
        <v>#N/A Requesting Data...2168428341</v>
        <stp/>
        <stp>BDP|330047460139568332</stp>
        <tr r="G566" s="2"/>
      </tp>
      <tp t="s">
        <v>#N/A Requesting Data...726973362</v>
        <stp/>
        <stp>BDP|108138898993953711</stp>
        <tr r="E555" s="2"/>
      </tp>
      <tp t="s">
        <v>#N/A Requesting Data...2501541472</v>
        <stp/>
        <stp>BDP|833743676287346860</stp>
        <tr r="AA84" s="1"/>
      </tp>
      <tp t="s">
        <v>#N/A Requesting Data...1113798624</v>
        <stp/>
        <stp>BDP|363890746537356476</stp>
        <tr r="G478" s="2"/>
      </tp>
      <tp t="s">
        <v>#N/A Requesting Data...2079700076</v>
        <stp/>
        <stp>BDP|432768328568279215</stp>
        <tr r="F370" s="2"/>
      </tp>
      <tp t="s">
        <v>#N/A Requesting Data...3070792136</v>
        <stp/>
        <stp>BDP|899751787155765591</stp>
        <tr r="H498" s="2"/>
      </tp>
      <tp t="s">
        <v>#N/A Requesting Data...2679273996</v>
        <stp/>
        <stp>BDP|620353922618500614</stp>
        <tr r="G32" s="2"/>
      </tp>
      <tp t="s">
        <v>#N/A Requesting Data...3590492861</v>
        <stp/>
        <stp>BDP|615694583603222288</stp>
        <tr r="E525" s="2"/>
      </tp>
      <tp t="s">
        <v>#N/A Requesting Data...2968308441</v>
        <stp/>
        <stp>BDP|326473320378126134</stp>
        <tr r="Z53" s="1"/>
      </tp>
      <tp t="s">
        <v>#N/A Requesting Data...3114803690</v>
        <stp/>
        <stp>BDP|508284771162773893</stp>
        <tr r="F457" s="2"/>
      </tp>
      <tp t="s">
        <v>#N/A Requesting Data...503286170</v>
        <stp/>
        <stp>BDP|833737836212610993</stp>
        <tr r="G348" s="2"/>
      </tp>
      <tp t="s">
        <v>#N/A Requesting Data...3130615409</v>
        <stp/>
        <stp>BDP|955989223347826246</stp>
        <tr r="F157" s="2"/>
      </tp>
      <tp t="s">
        <v>#N/A Requesting Data...3378737640</v>
        <stp/>
        <stp>BDP|499957821731781482</stp>
        <tr r="E448" s="2"/>
      </tp>
      <tp t="s">
        <v>#N/A Requesting Data...967648525</v>
        <stp/>
        <stp>BDP|320222882014499024</stp>
        <tr r="G360" s="2"/>
      </tp>
      <tp t="s">
        <v>#N/A Requesting Data...1130198543</v>
        <stp/>
        <stp>BDP|742195282610607792</stp>
        <tr r="F451" s="2"/>
      </tp>
      <tp t="s">
        <v>#N/A Requesting Data...4049423746</v>
        <stp/>
        <stp>BDP|862308476434796958</stp>
        <tr r="E221" s="2"/>
      </tp>
      <tp t="s">
        <v>#N/A Requesting Data...3945169852</v>
        <stp/>
        <stp>BDP|783286292531192341</stp>
        <tr r="G146" s="2"/>
      </tp>
      <tp t="s">
        <v>#N/A Requesting Data...2580969612</v>
        <stp/>
        <stp>BDP|247161790753328226</stp>
        <tr r="F401" s="2"/>
      </tp>
      <tp t="s">
        <v>#N/A Requesting Data...1049903349</v>
        <stp/>
        <stp>BDP|196336382854236646</stp>
        <tr r="G127" s="2"/>
      </tp>
      <tp t="s">
        <v>#N/A Requesting Data...684234165</v>
        <stp/>
        <stp>BDP|393219368978235451</stp>
        <tr r="H139" s="2"/>
      </tp>
      <tp t="s">
        <v>#N/A Requesting Data...865559184</v>
        <stp/>
        <stp>BDP|173962088630509948</stp>
        <tr r="E193" s="2"/>
      </tp>
      <tp t="s">
        <v>#N/A Requesting Data...3244629144</v>
        <stp/>
        <stp>BDP|556224538650566922</stp>
        <tr r="E241" s="2"/>
      </tp>
      <tp t="s">
        <v>#N/A Requesting Data...1836286913</v>
        <stp/>
        <stp>BDP|892001906119078170</stp>
        <tr r="F254" s="2"/>
      </tp>
      <tp t="s">
        <v>#N/A Requesting Data...3010090236</v>
        <stp/>
        <stp>BDP|345417951158875107</stp>
        <tr r="E156" s="2"/>
      </tp>
      <tp t="s">
        <v>#N/A Requesting Data...3980262571</v>
        <stp/>
        <stp>BDP|655762524284811980</stp>
        <tr r="G438" s="2"/>
      </tp>
      <tp t="s">
        <v>#N/A Requesting Data...1219930046</v>
        <stp/>
        <stp>BDP|230827077612703559</stp>
        <tr r="H610" s="2"/>
      </tp>
      <tp t="s">
        <v>#N/A Requesting Data...1681086907</v>
        <stp/>
        <stp>BDP|789942601998035932</stp>
        <tr r="Z20" s="1"/>
      </tp>
      <tp t="s">
        <v>#N/A Requesting Data...4053468999</v>
        <stp/>
        <stp>BDP|900028596012452036</stp>
        <tr r="G120" s="2"/>
      </tp>
      <tp t="s">
        <v>#N/A Requesting Data...3015245507</v>
        <stp/>
        <stp>BDP|987522405337085944</stp>
        <tr r="F421" s="2"/>
      </tp>
      <tp t="s">
        <v>#N/A Requesting Data...4226658016</v>
        <stp/>
        <stp>BDP|839864736580478077</stp>
        <tr r="G325" s="2"/>
      </tp>
      <tp t="s">
        <v>#N/A Requesting Data...3221914847</v>
        <stp/>
        <stp>BDP|643917779844842133</stp>
        <tr r="AA93" s="1"/>
      </tp>
      <tp t="s">
        <v>#N/A Requesting Data...2394748765</v>
        <stp/>
        <stp>BDP|608136280602073078</stp>
        <tr r="G265" s="2"/>
      </tp>
      <tp t="s">
        <v>#N/A Requesting Data...635845405</v>
        <stp/>
        <stp>BDP|530729984731270537</stp>
        <tr r="AA105" s="1"/>
      </tp>
      <tp t="s">
        <v>#N/A Requesting Data...1518923468</v>
        <stp/>
        <stp>BDP|901824905337810441</stp>
        <tr r="E536" s="2"/>
      </tp>
      <tp t="s">
        <v>#N/A Requesting Data...1887961691</v>
        <stp/>
        <stp>BDP|985787504145048892</stp>
        <tr r="E282" s="2"/>
      </tp>
      <tp t="s">
        <v>#N/A Requesting Data...2812994888</v>
        <stp/>
        <stp>BDP|918832326189043917</stp>
        <tr r="H461" s="2"/>
      </tp>
      <tp t="s">
        <v>#N/A Requesting Data...2147764776</v>
        <stp/>
        <stp>BDP|510870618704262751</stp>
        <tr r="E604" s="2"/>
      </tp>
      <tp t="s">
        <v>#N/A Requesting Data...3548980810</v>
        <stp/>
        <stp>BDP|211789107268670504</stp>
        <tr r="G150" s="2"/>
      </tp>
      <tp t="s">
        <v>#N/A Requesting Data...1284559298</v>
        <stp/>
        <stp>BDP|917838248641362757</stp>
        <tr r="F255" s="2"/>
      </tp>
      <tp t="s">
        <v>#N/A Requesting Data...1050657751</v>
        <stp/>
        <stp>BDP|943871529021770153</stp>
        <tr r="H547" s="2"/>
      </tp>
      <tp t="s">
        <v>#N/A Requesting Data...3123887456</v>
        <stp/>
        <stp>BDP|137601867929955390</stp>
        <tr r="H336" s="2"/>
      </tp>
      <tp t="s">
        <v>#N/A Requesting Data...3477246901</v>
        <stp/>
        <stp>BDP|735510982733756450</stp>
        <tr r="H512" s="2"/>
      </tp>
      <tp t="s">
        <v>#N/A Requesting Data...2837613900</v>
        <stp/>
        <stp>BDP|195467073938092137</stp>
        <tr r="G349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6"/>
  <sheetViews>
    <sheetView tabSelected="1" topLeftCell="X1" workbookViewId="0">
      <selection activeCell="AK22" sqref="AK22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55</v>
      </c>
      <c r="V2" s="1" t="s">
        <v>55</v>
      </c>
      <c r="W2" s="1" t="s">
        <v>55</v>
      </c>
      <c r="X2" s="1" t="s">
        <v>55</v>
      </c>
      <c r="Y2" s="1" t="s">
        <v>50</v>
      </c>
      <c r="Z2" t="str">
        <f>_xll.BDP($B2,"CUST_TRR_RETURN_HOLDING_PER","CUST_TRR_START_DT","20260401","CUST_TRR_END_DT","20260430","CUST_TRR_CRNCY","USD")</f>
        <v>#N/A N/A</v>
      </c>
      <c r="AA2" t="str">
        <f>_xll.BDP($B2,"CUST_TRR_RETURN_HOLDING_PER","CUST_TRR_START_DT","20260501","CUST_TRR_END_DT","20260531","CUST_TRR_CRNCY","USD")</f>
        <v>#N/A N/A</v>
      </c>
      <c r="AB2" t="str">
        <f>_xll.BDP($B2,"CUST_TRR_RETURN_HOLDING_PER","CUST_TRR_START_DT","20260601","CUST_TRR_END_DT","20260630","CUST_TRR_CRNCY","USD")</f>
        <v>#N/A N/A</v>
      </c>
      <c r="AC2" s="1" t="s">
        <v>56</v>
      </c>
      <c r="AD2" s="1" t="s">
        <v>56</v>
      </c>
      <c r="AE2" s="1" t="s">
        <v>56</v>
      </c>
      <c r="AF2" s="1" t="s">
        <v>56</v>
      </c>
      <c r="AG2" s="1" t="s">
        <v>56</v>
      </c>
      <c r="AH2" s="1" t="s">
        <v>56</v>
      </c>
      <c r="AI2" s="1" t="s">
        <v>57</v>
      </c>
      <c r="AJ2" s="1" t="s">
        <v>57</v>
      </c>
      <c r="AK2" s="1" t="s">
        <v>56</v>
      </c>
      <c r="AL2" s="1" t="s">
        <v>57</v>
      </c>
      <c r="AM2" s="1" t="s">
        <v>57</v>
      </c>
      <c r="AN2" s="1" t="s">
        <v>56</v>
      </c>
      <c r="AO2" s="1" t="s">
        <v>58</v>
      </c>
      <c r="AP2" s="1" t="s">
        <v>57</v>
      </c>
      <c r="AQ2" s="1" t="s">
        <v>56</v>
      </c>
      <c r="AR2" s="1" t="s">
        <v>59</v>
      </c>
      <c r="AS2" s="1" t="s">
        <v>60</v>
      </c>
    </row>
    <row r="3" spans="1:45" x14ac:dyDescent="0.25">
      <c r="A3" s="1" t="s">
        <v>61</v>
      </c>
      <c r="B3" s="1" t="s">
        <v>62</v>
      </c>
      <c r="C3" s="1" t="s">
        <v>47</v>
      </c>
      <c r="D3" s="1" t="s">
        <v>48</v>
      </c>
      <c r="E3" s="1" t="s">
        <v>49</v>
      </c>
      <c r="F3" s="1" t="s">
        <v>49</v>
      </c>
      <c r="G3" s="1" t="s">
        <v>50</v>
      </c>
      <c r="H3" s="1" t="s">
        <v>51</v>
      </c>
      <c r="I3" s="1" t="s">
        <v>63</v>
      </c>
      <c r="J3" s="1" t="s">
        <v>64</v>
      </c>
      <c r="K3" s="1" t="s">
        <v>65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55</v>
      </c>
      <c r="V3" s="1" t="s">
        <v>55</v>
      </c>
      <c r="W3" s="1" t="s">
        <v>55</v>
      </c>
      <c r="X3" s="1" t="s">
        <v>55</v>
      </c>
      <c r="Y3" s="1" t="s">
        <v>50</v>
      </c>
      <c r="Z3" t="str">
        <f>_xll.BDP($B3,"CUST_TRR_RETURN_HOLDING_PER","CUST_TRR_START_DT","20260401","CUST_TRR_END_DT","20260430","CUST_TRR_CRNCY","USD")</f>
        <v>#N/A N/A</v>
      </c>
      <c r="AA3" t="str">
        <f>_xll.BDP($B3,"CUST_TRR_RETURN_HOLDING_PER","CUST_TRR_START_DT","20260501","CUST_TRR_END_DT","20260531","CUST_TRR_CRNCY","USD")</f>
        <v>#N/A N/A</v>
      </c>
      <c r="AB3" t="str">
        <f>_xll.BDP($B3,"CUST_TRR_RETURN_HOLDING_PER","CUST_TRR_START_DT","20260601","CUST_TRR_END_DT","20260630","CUST_TRR_CRNCY","USD")</f>
        <v>#N/A N/A</v>
      </c>
      <c r="AC3" s="1" t="s">
        <v>56</v>
      </c>
      <c r="AD3" s="1" t="s">
        <v>56</v>
      </c>
      <c r="AE3" s="1" t="s">
        <v>56</v>
      </c>
      <c r="AF3" s="1" t="s">
        <v>56</v>
      </c>
      <c r="AG3" s="1" t="s">
        <v>56</v>
      </c>
      <c r="AH3" s="1" t="s">
        <v>56</v>
      </c>
      <c r="AI3" s="1" t="s">
        <v>57</v>
      </c>
      <c r="AJ3" s="1" t="s">
        <v>57</v>
      </c>
      <c r="AK3" s="1" t="s">
        <v>56</v>
      </c>
      <c r="AL3" s="1" t="s">
        <v>57</v>
      </c>
      <c r="AM3" s="1" t="s">
        <v>57</v>
      </c>
      <c r="AN3" s="1" t="s">
        <v>56</v>
      </c>
      <c r="AO3" s="1" t="s">
        <v>58</v>
      </c>
      <c r="AP3" s="1" t="s">
        <v>57</v>
      </c>
      <c r="AQ3" s="1" t="s">
        <v>56</v>
      </c>
      <c r="AR3" s="1" t="s">
        <v>59</v>
      </c>
      <c r="AS3" s="1" t="s">
        <v>60</v>
      </c>
    </row>
    <row r="4" spans="1:45" x14ac:dyDescent="0.25">
      <c r="A4" s="1" t="s">
        <v>66</v>
      </c>
      <c r="B4" s="1" t="s">
        <v>67</v>
      </c>
      <c r="C4" s="1" t="s">
        <v>47</v>
      </c>
      <c r="D4" s="1" t="s">
        <v>48</v>
      </c>
      <c r="E4" s="1" t="s">
        <v>49</v>
      </c>
      <c r="F4" s="1" t="s">
        <v>49</v>
      </c>
      <c r="G4" s="1" t="s">
        <v>50</v>
      </c>
      <c r="H4" s="1" t="s">
        <v>51</v>
      </c>
      <c r="I4" s="1" t="s">
        <v>68</v>
      </c>
      <c r="J4" s="1" t="s">
        <v>57</v>
      </c>
      <c r="K4" s="1" t="s">
        <v>68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55</v>
      </c>
      <c r="V4" s="1" t="s">
        <v>55</v>
      </c>
      <c r="W4" s="1" t="s">
        <v>55</v>
      </c>
      <c r="X4" s="1" t="s">
        <v>55</v>
      </c>
      <c r="Y4" s="1" t="s">
        <v>50</v>
      </c>
      <c r="Z4" t="str">
        <f>_xll.BDP($B4,"CUST_TRR_RETURN_HOLDING_PER","CUST_TRR_START_DT","20260401","CUST_TRR_END_DT","20260430","CUST_TRR_CRNCY","USD")</f>
        <v>#N/A N/A</v>
      </c>
      <c r="AA4">
        <f>_xll.BDP($B4,"CUST_TRR_RETURN_HOLDING_PER","CUST_TRR_START_DT","20260501","CUST_TRR_END_DT","20260531","CUST_TRR_CRNCY","USD")</f>
        <v>2.897745</v>
      </c>
      <c r="AB4" t="str">
        <f>_xll.BDP($B4,"CUST_TRR_RETURN_HOLDING_PER","CUST_TRR_START_DT","20260601","CUST_TRR_END_DT","20260630","CUST_TRR_CRNCY","USD")</f>
        <v>#N/A N/A</v>
      </c>
      <c r="AC4" s="1" t="s">
        <v>56</v>
      </c>
      <c r="AD4" s="1" t="s">
        <v>56</v>
      </c>
      <c r="AE4" s="1" t="s">
        <v>56</v>
      </c>
      <c r="AF4" s="1" t="s">
        <v>56</v>
      </c>
      <c r="AG4" s="1" t="s">
        <v>56</v>
      </c>
      <c r="AH4" s="1" t="s">
        <v>56</v>
      </c>
      <c r="AI4" s="1" t="s">
        <v>57</v>
      </c>
      <c r="AJ4" s="1" t="s">
        <v>57</v>
      </c>
      <c r="AK4" s="1" t="s">
        <v>56</v>
      </c>
      <c r="AL4" s="1" t="s">
        <v>69</v>
      </c>
      <c r="AM4" s="1" t="s">
        <v>57</v>
      </c>
      <c r="AN4" s="1" t="s">
        <v>56</v>
      </c>
      <c r="AO4" s="1" t="s">
        <v>57</v>
      </c>
      <c r="AP4" s="1" t="s">
        <v>57</v>
      </c>
      <c r="AQ4" s="1" t="s">
        <v>56</v>
      </c>
      <c r="AR4" s="1" t="s">
        <v>59</v>
      </c>
      <c r="AS4" s="1" t="s">
        <v>60</v>
      </c>
    </row>
    <row r="5" spans="1:45" x14ac:dyDescent="0.25">
      <c r="A5" s="1" t="s">
        <v>70</v>
      </c>
      <c r="B5" s="1" t="s">
        <v>71</v>
      </c>
      <c r="C5" s="1" t="s">
        <v>47</v>
      </c>
      <c r="D5" s="1" t="s">
        <v>48</v>
      </c>
      <c r="E5" s="1" t="s">
        <v>49</v>
      </c>
      <c r="F5" s="1" t="s">
        <v>49</v>
      </c>
      <c r="G5" s="1" t="s">
        <v>50</v>
      </c>
      <c r="H5" s="1" t="s">
        <v>51</v>
      </c>
      <c r="I5" s="1" t="s">
        <v>72</v>
      </c>
      <c r="J5" s="1" t="s">
        <v>57</v>
      </c>
      <c r="K5" s="1" t="s">
        <v>72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55</v>
      </c>
      <c r="V5" s="1" t="s">
        <v>55</v>
      </c>
      <c r="W5" s="1" t="s">
        <v>55</v>
      </c>
      <c r="X5" s="1" t="s">
        <v>55</v>
      </c>
      <c r="Y5" s="1" t="s">
        <v>50</v>
      </c>
      <c r="Z5" t="str">
        <f>_xll.BDP($B5,"CUST_TRR_RETURN_HOLDING_PER","CUST_TRR_START_DT","20260401","CUST_TRR_END_DT","20260430","CUST_TRR_CRNCY","USD")</f>
        <v>#N/A N/A</v>
      </c>
      <c r="AA5">
        <f>_xll.BDP($B5,"CUST_TRR_RETURN_HOLDING_PER","CUST_TRR_START_DT","20260501","CUST_TRR_END_DT","20260531","CUST_TRR_CRNCY","USD")</f>
        <v>8.4756689999999999</v>
      </c>
      <c r="AB5" t="str">
        <f>_xll.BDP($B5,"CUST_TRR_RETURN_HOLDING_PER","CUST_TRR_START_DT","20260601","CUST_TRR_END_DT","20260630","CUST_TRR_CRNCY","USD")</f>
        <v>#N/A N/A</v>
      </c>
      <c r="AC5" s="1" t="s">
        <v>56</v>
      </c>
      <c r="AD5" s="1" t="s">
        <v>56</v>
      </c>
      <c r="AE5" s="1" t="s">
        <v>56</v>
      </c>
      <c r="AF5" s="1" t="s">
        <v>56</v>
      </c>
      <c r="AG5" s="1" t="s">
        <v>56</v>
      </c>
      <c r="AH5" s="1" t="s">
        <v>56</v>
      </c>
      <c r="AI5" s="1" t="s">
        <v>57</v>
      </c>
      <c r="AJ5" s="1" t="s">
        <v>57</v>
      </c>
      <c r="AK5" s="1" t="s">
        <v>56</v>
      </c>
      <c r="AL5" s="1" t="s">
        <v>73</v>
      </c>
      <c r="AM5" s="1" t="s">
        <v>57</v>
      </c>
      <c r="AN5" s="1" t="s">
        <v>56</v>
      </c>
      <c r="AO5" s="1" t="s">
        <v>57</v>
      </c>
      <c r="AP5" s="1" t="s">
        <v>57</v>
      </c>
      <c r="AQ5" s="1" t="s">
        <v>56</v>
      </c>
      <c r="AR5" s="1" t="s">
        <v>59</v>
      </c>
      <c r="AS5" s="1" t="s">
        <v>60</v>
      </c>
    </row>
    <row r="6" spans="1:45" x14ac:dyDescent="0.25">
      <c r="A6" s="1" t="s">
        <v>74</v>
      </c>
      <c r="B6" s="1" t="s">
        <v>75</v>
      </c>
      <c r="C6" s="1" t="s">
        <v>47</v>
      </c>
      <c r="D6" s="1" t="s">
        <v>48</v>
      </c>
      <c r="E6" s="1" t="s">
        <v>49</v>
      </c>
      <c r="F6" s="1" t="s">
        <v>49</v>
      </c>
      <c r="G6" s="1" t="s">
        <v>50</v>
      </c>
      <c r="H6" s="1" t="s">
        <v>51</v>
      </c>
      <c r="I6" s="1" t="s">
        <v>76</v>
      </c>
      <c r="J6" s="1" t="s">
        <v>57</v>
      </c>
      <c r="K6" s="1" t="s">
        <v>76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55</v>
      </c>
      <c r="W6" s="1" t="s">
        <v>55</v>
      </c>
      <c r="X6" s="1" t="s">
        <v>55</v>
      </c>
      <c r="Y6" s="1" t="s">
        <v>50</v>
      </c>
      <c r="Z6" t="str">
        <f>_xll.BDP($B6,"CUST_TRR_RETURN_HOLDING_PER","CUST_TRR_START_DT","20260401","CUST_TRR_END_DT","20260430","CUST_TRR_CRNCY","USD")</f>
        <v>#N/A N/A</v>
      </c>
      <c r="AA6">
        <f>_xll.BDP($B6,"CUST_TRR_RETURN_HOLDING_PER","CUST_TRR_START_DT","20260501","CUST_TRR_END_DT","20260531","CUST_TRR_CRNCY","USD")</f>
        <v>0.54172560000000003</v>
      </c>
      <c r="AB6" t="str">
        <f>_xll.BDP($B6,"CUST_TRR_RETURN_HOLDING_PER","CUST_TRR_START_DT","20260601","CUST_TRR_END_DT","20260630","CUST_TRR_CRNCY","USD")</f>
        <v>#N/A N/A</v>
      </c>
      <c r="AC6" s="1" t="s">
        <v>56</v>
      </c>
      <c r="AD6" s="1" t="s">
        <v>56</v>
      </c>
      <c r="AE6" s="1" t="s">
        <v>56</v>
      </c>
      <c r="AF6" s="1" t="s">
        <v>56</v>
      </c>
      <c r="AG6" s="1" t="s">
        <v>56</v>
      </c>
      <c r="AH6" s="1" t="s">
        <v>56</v>
      </c>
      <c r="AI6" s="1" t="s">
        <v>57</v>
      </c>
      <c r="AJ6" s="1" t="s">
        <v>57</v>
      </c>
      <c r="AK6" s="1" t="s">
        <v>56</v>
      </c>
      <c r="AL6" s="1" t="s">
        <v>77</v>
      </c>
      <c r="AM6" s="1" t="s">
        <v>57</v>
      </c>
      <c r="AN6" s="1" t="s">
        <v>56</v>
      </c>
      <c r="AO6" s="1" t="s">
        <v>57</v>
      </c>
      <c r="AP6" s="1" t="s">
        <v>57</v>
      </c>
      <c r="AQ6" s="1" t="s">
        <v>56</v>
      </c>
      <c r="AR6" s="1" t="s">
        <v>59</v>
      </c>
      <c r="AS6" s="1" t="s">
        <v>60</v>
      </c>
    </row>
    <row r="7" spans="1:45" x14ac:dyDescent="0.25">
      <c r="A7" s="1" t="s">
        <v>78</v>
      </c>
      <c r="B7" s="1" t="s">
        <v>79</v>
      </c>
      <c r="C7" s="1" t="s">
        <v>47</v>
      </c>
      <c r="D7" s="1" t="s">
        <v>48</v>
      </c>
      <c r="E7" s="1" t="s">
        <v>49</v>
      </c>
      <c r="F7" s="1" t="s">
        <v>49</v>
      </c>
      <c r="G7" s="1" t="s">
        <v>50</v>
      </c>
      <c r="H7" s="1" t="s">
        <v>51</v>
      </c>
      <c r="I7" s="1" t="s">
        <v>80</v>
      </c>
      <c r="J7" s="1" t="s">
        <v>57</v>
      </c>
      <c r="K7" s="1" t="s">
        <v>80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55</v>
      </c>
      <c r="V7" s="1" t="s">
        <v>55</v>
      </c>
      <c r="W7" s="1" t="s">
        <v>55</v>
      </c>
      <c r="X7" s="1" t="s">
        <v>55</v>
      </c>
      <c r="Y7" s="1" t="s">
        <v>50</v>
      </c>
      <c r="Z7" t="str">
        <f>_xll.BDP($B7,"CUST_TRR_RETURN_HOLDING_PER","CUST_TRR_START_DT","20260401","CUST_TRR_END_DT","20260430","CUST_TRR_CRNCY","USD")</f>
        <v>#N/A N/A</v>
      </c>
      <c r="AA7">
        <f>_xll.BDP($B7,"CUST_TRR_RETURN_HOLDING_PER","CUST_TRR_START_DT","20260501","CUST_TRR_END_DT","20260531","CUST_TRR_CRNCY","USD")</f>
        <v>3.4001070000000002</v>
      </c>
      <c r="AB7" t="str">
        <f>_xll.BDP($B7,"CUST_TRR_RETURN_HOLDING_PER","CUST_TRR_START_DT","20260601","CUST_TRR_END_DT","20260630","CUST_TRR_CRNCY","USD")</f>
        <v>#N/A N/A</v>
      </c>
      <c r="AC7" s="1" t="s">
        <v>56</v>
      </c>
      <c r="AD7" s="1" t="s">
        <v>56</v>
      </c>
      <c r="AE7" s="1" t="s">
        <v>56</v>
      </c>
      <c r="AF7" s="1" t="s">
        <v>56</v>
      </c>
      <c r="AG7" s="1" t="s">
        <v>56</v>
      </c>
      <c r="AH7" s="1" t="s">
        <v>56</v>
      </c>
      <c r="AI7" s="1" t="s">
        <v>57</v>
      </c>
      <c r="AJ7" s="1" t="s">
        <v>57</v>
      </c>
      <c r="AK7" s="1" t="s">
        <v>56</v>
      </c>
      <c r="AL7" s="1" t="s">
        <v>81</v>
      </c>
      <c r="AM7" s="1" t="s">
        <v>57</v>
      </c>
      <c r="AN7" s="1" t="s">
        <v>56</v>
      </c>
      <c r="AO7" s="1" t="s">
        <v>57</v>
      </c>
      <c r="AP7" s="1" t="s">
        <v>57</v>
      </c>
      <c r="AQ7" s="1" t="s">
        <v>56</v>
      </c>
      <c r="AR7" s="1" t="s">
        <v>59</v>
      </c>
      <c r="AS7" s="1" t="s">
        <v>60</v>
      </c>
    </row>
    <row r="8" spans="1:45" x14ac:dyDescent="0.25">
      <c r="A8" s="1" t="s">
        <v>82</v>
      </c>
      <c r="B8" s="1" t="s">
        <v>83</v>
      </c>
      <c r="C8" s="1" t="s">
        <v>47</v>
      </c>
      <c r="D8" s="1" t="s">
        <v>48</v>
      </c>
      <c r="E8" s="1" t="s">
        <v>49</v>
      </c>
      <c r="F8" s="1" t="s">
        <v>49</v>
      </c>
      <c r="G8" s="1" t="s">
        <v>50</v>
      </c>
      <c r="H8" s="1" t="s">
        <v>51</v>
      </c>
      <c r="I8" s="1" t="s">
        <v>84</v>
      </c>
      <c r="J8" s="1" t="s">
        <v>85</v>
      </c>
      <c r="K8" s="1" t="s">
        <v>86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55</v>
      </c>
      <c r="V8" s="1" t="s">
        <v>55</v>
      </c>
      <c r="W8" s="1" t="s">
        <v>55</v>
      </c>
      <c r="X8" s="1" t="s">
        <v>55</v>
      </c>
      <c r="Y8" s="1" t="s">
        <v>50</v>
      </c>
      <c r="Z8" t="str">
        <f>_xll.BDP($B8,"CUST_TRR_RETURN_HOLDING_PER","CUST_TRR_START_DT","20260401","CUST_TRR_END_DT","20260430","CUST_TRR_CRNCY","USD")</f>
        <v>#N/A N/A</v>
      </c>
      <c r="AA8" t="str">
        <f>_xll.BDP($B8,"CUST_TRR_RETURN_HOLDING_PER","CUST_TRR_START_DT","20260501","CUST_TRR_END_DT","20260531","CUST_TRR_CRNCY","USD")</f>
        <v>#N/A N/A</v>
      </c>
      <c r="AB8" t="str">
        <f>_xll.BDP($B8,"CUST_TRR_RETURN_HOLDING_PER","CUST_TRR_START_DT","20260601","CUST_TRR_END_DT","20260630","CUST_TRR_CRNCY","USD")</f>
        <v>#N/A N/A</v>
      </c>
      <c r="AC8" s="1" t="s">
        <v>56</v>
      </c>
      <c r="AD8" s="1" t="s">
        <v>56</v>
      </c>
      <c r="AE8" s="1" t="s">
        <v>56</v>
      </c>
      <c r="AF8" s="1" t="s">
        <v>56</v>
      </c>
      <c r="AG8" s="1" t="s">
        <v>56</v>
      </c>
      <c r="AH8" s="1" t="s">
        <v>56</v>
      </c>
      <c r="AI8" s="1" t="s">
        <v>57</v>
      </c>
      <c r="AJ8" s="1" t="s">
        <v>57</v>
      </c>
      <c r="AK8" s="1" t="s">
        <v>56</v>
      </c>
      <c r="AL8" s="1" t="s">
        <v>57</v>
      </c>
      <c r="AM8" s="1" t="s">
        <v>57</v>
      </c>
      <c r="AN8" s="1" t="s">
        <v>56</v>
      </c>
      <c r="AO8" s="1" t="s">
        <v>87</v>
      </c>
      <c r="AP8" s="1" t="s">
        <v>88</v>
      </c>
      <c r="AQ8" s="1" t="s">
        <v>56</v>
      </c>
      <c r="AR8" s="1" t="s">
        <v>89</v>
      </c>
      <c r="AS8" s="1" t="s">
        <v>90</v>
      </c>
    </row>
    <row r="9" spans="1:45" x14ac:dyDescent="0.25">
      <c r="A9" s="1" t="s">
        <v>91</v>
      </c>
      <c r="B9" s="1" t="s">
        <v>92</v>
      </c>
      <c r="C9" s="1" t="s">
        <v>47</v>
      </c>
      <c r="D9" s="1" t="s">
        <v>48</v>
      </c>
      <c r="E9" s="1" t="s">
        <v>49</v>
      </c>
      <c r="F9" s="1" t="s">
        <v>49</v>
      </c>
      <c r="G9" s="1" t="s">
        <v>50</v>
      </c>
      <c r="H9" s="1" t="s">
        <v>51</v>
      </c>
      <c r="I9" s="1" t="s">
        <v>93</v>
      </c>
      <c r="J9" s="1" t="s">
        <v>57</v>
      </c>
      <c r="K9" s="1" t="s">
        <v>93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55</v>
      </c>
      <c r="V9" s="1" t="s">
        <v>55</v>
      </c>
      <c r="W9" s="1" t="s">
        <v>55</v>
      </c>
      <c r="X9" s="1" t="s">
        <v>55</v>
      </c>
      <c r="Y9" s="1" t="s">
        <v>50</v>
      </c>
      <c r="Z9" t="str">
        <f>_xll.BDP($B9,"CUST_TRR_RETURN_HOLDING_PER","CUST_TRR_START_DT","20260401","CUST_TRR_END_DT","20260430","CUST_TRR_CRNCY","USD")</f>
        <v>#N/A N/A</v>
      </c>
      <c r="AA9">
        <f>_xll.BDP($B9,"CUST_TRR_RETURN_HOLDING_PER","CUST_TRR_START_DT","20260501","CUST_TRR_END_DT","20260531","CUST_TRR_CRNCY","USD")</f>
        <v>14.46884</v>
      </c>
      <c r="AB9" t="str">
        <f>_xll.BDP($B9,"CUST_TRR_RETURN_HOLDING_PER","CUST_TRR_START_DT","20260601","CUST_TRR_END_DT","20260630","CUST_TRR_CRNCY","USD")</f>
        <v>#N/A N/A</v>
      </c>
      <c r="AC9" s="1" t="s">
        <v>56</v>
      </c>
      <c r="AD9" s="1" t="s">
        <v>56</v>
      </c>
      <c r="AE9" s="1" t="s">
        <v>56</v>
      </c>
      <c r="AF9" s="1" t="s">
        <v>56</v>
      </c>
      <c r="AG9" s="1" t="s">
        <v>56</v>
      </c>
      <c r="AH9" s="1" t="s">
        <v>56</v>
      </c>
      <c r="AI9" s="1" t="s">
        <v>57</v>
      </c>
      <c r="AJ9" s="1" t="s">
        <v>57</v>
      </c>
      <c r="AK9" s="1" t="s">
        <v>56</v>
      </c>
      <c r="AL9" s="1" t="s">
        <v>94</v>
      </c>
      <c r="AM9" s="1" t="s">
        <v>57</v>
      </c>
      <c r="AN9" s="1" t="s">
        <v>56</v>
      </c>
      <c r="AO9" s="1" t="s">
        <v>95</v>
      </c>
      <c r="AP9" s="1" t="s">
        <v>57</v>
      </c>
      <c r="AQ9" s="1" t="s">
        <v>56</v>
      </c>
      <c r="AR9" s="1" t="s">
        <v>59</v>
      </c>
      <c r="AS9" s="1" t="s">
        <v>60</v>
      </c>
    </row>
    <row r="10" spans="1:45" x14ac:dyDescent="0.25">
      <c r="A10" s="1" t="s">
        <v>96</v>
      </c>
      <c r="B10" s="1" t="s">
        <v>97</v>
      </c>
      <c r="C10" s="1" t="s">
        <v>47</v>
      </c>
      <c r="D10" s="1" t="s">
        <v>48</v>
      </c>
      <c r="E10" s="1" t="s">
        <v>49</v>
      </c>
      <c r="F10" s="1" t="s">
        <v>49</v>
      </c>
      <c r="G10" s="1" t="s">
        <v>50</v>
      </c>
      <c r="H10" s="1" t="s">
        <v>51</v>
      </c>
      <c r="I10" s="1" t="s">
        <v>98</v>
      </c>
      <c r="J10" s="1" t="s">
        <v>99</v>
      </c>
      <c r="K10" s="1" t="s">
        <v>100</v>
      </c>
      <c r="L10" s="1" t="s">
        <v>55</v>
      </c>
      <c r="M10" s="1" t="s">
        <v>55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55</v>
      </c>
      <c r="S10" s="1" t="s">
        <v>55</v>
      </c>
      <c r="T10" s="1" t="s">
        <v>55</v>
      </c>
      <c r="U10" s="1" t="s">
        <v>55</v>
      </c>
      <c r="V10" s="1" t="s">
        <v>55</v>
      </c>
      <c r="W10" s="1" t="s">
        <v>55</v>
      </c>
      <c r="X10" s="1" t="s">
        <v>55</v>
      </c>
      <c r="Y10" s="1" t="s">
        <v>50</v>
      </c>
      <c r="Z10" t="str">
        <f>_xll.BDP($B10,"CUST_TRR_RETURN_HOLDING_PER","CUST_TRR_START_DT","20260401","CUST_TRR_END_DT","20260430","CUST_TRR_CRNCY","USD")</f>
        <v>#N/A N/A</v>
      </c>
      <c r="AA10" t="str">
        <f>_xll.BDP($B10,"CUST_TRR_RETURN_HOLDING_PER","CUST_TRR_START_DT","20260501","CUST_TRR_END_DT","20260531","CUST_TRR_CRNCY","USD")</f>
        <v>#N/A N/A</v>
      </c>
      <c r="AB10" t="str">
        <f>_xll.BDP($B10,"CUST_TRR_RETURN_HOLDING_PER","CUST_TRR_START_DT","20260601","CUST_TRR_END_DT","20260630","CUST_TRR_CRNCY","USD")</f>
        <v>#N/A N/A</v>
      </c>
      <c r="AC10" s="1" t="s">
        <v>56</v>
      </c>
      <c r="AD10" s="1" t="s">
        <v>56</v>
      </c>
      <c r="AE10" s="1" t="s">
        <v>56</v>
      </c>
      <c r="AF10" s="1" t="s">
        <v>56</v>
      </c>
      <c r="AG10" s="1" t="s">
        <v>56</v>
      </c>
      <c r="AH10" s="1" t="s">
        <v>56</v>
      </c>
      <c r="AI10" s="1" t="s">
        <v>57</v>
      </c>
      <c r="AJ10" s="1" t="s">
        <v>57</v>
      </c>
      <c r="AK10" s="1" t="s">
        <v>56</v>
      </c>
      <c r="AL10" s="1" t="s">
        <v>57</v>
      </c>
      <c r="AM10" s="1" t="s">
        <v>57</v>
      </c>
      <c r="AN10" s="1" t="s">
        <v>56</v>
      </c>
      <c r="AO10" s="1" t="s">
        <v>58</v>
      </c>
      <c r="AP10" s="1" t="s">
        <v>57</v>
      </c>
      <c r="AQ10" s="1" t="s">
        <v>56</v>
      </c>
      <c r="AR10" s="1" t="s">
        <v>59</v>
      </c>
      <c r="AS10" s="1" t="s">
        <v>60</v>
      </c>
    </row>
    <row r="11" spans="1:45" x14ac:dyDescent="0.25">
      <c r="A11" s="1" t="s">
        <v>101</v>
      </c>
      <c r="B11" s="1" t="s">
        <v>102</v>
      </c>
      <c r="C11" s="1" t="s">
        <v>47</v>
      </c>
      <c r="D11" s="1" t="s">
        <v>48</v>
      </c>
      <c r="E11" s="1" t="s">
        <v>49</v>
      </c>
      <c r="F11" s="1" t="s">
        <v>49</v>
      </c>
      <c r="G11" s="1" t="s">
        <v>50</v>
      </c>
      <c r="H11" s="1" t="s">
        <v>51</v>
      </c>
      <c r="I11" s="1" t="s">
        <v>103</v>
      </c>
      <c r="J11" s="1" t="s">
        <v>104</v>
      </c>
      <c r="K11" s="1" t="s">
        <v>105</v>
      </c>
      <c r="L11" s="1" t="s">
        <v>55</v>
      </c>
      <c r="M11" s="1" t="s">
        <v>55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55</v>
      </c>
      <c r="U11" s="1" t="s">
        <v>55</v>
      </c>
      <c r="V11" s="1" t="s">
        <v>55</v>
      </c>
      <c r="W11" s="1" t="s">
        <v>55</v>
      </c>
      <c r="X11" s="1" t="s">
        <v>55</v>
      </c>
      <c r="Y11" s="1" t="s">
        <v>50</v>
      </c>
      <c r="Z11" t="str">
        <f>_xll.BDP($B11,"CUST_TRR_RETURN_HOLDING_PER","CUST_TRR_START_DT","20260401","CUST_TRR_END_DT","20260430","CUST_TRR_CRNCY","USD")</f>
        <v>#N/A N/A</v>
      </c>
      <c r="AA11" t="str">
        <f>_xll.BDP($B11,"CUST_TRR_RETURN_HOLDING_PER","CUST_TRR_START_DT","20260501","CUST_TRR_END_DT","20260531","CUST_TRR_CRNCY","USD")</f>
        <v>#N/A N/A</v>
      </c>
      <c r="AB11" t="str">
        <f>_xll.BDP($B11,"CUST_TRR_RETURN_HOLDING_PER","CUST_TRR_START_DT","20260601","CUST_TRR_END_DT","20260630","CUST_TRR_CRNCY","USD")</f>
        <v>#N/A N/A</v>
      </c>
      <c r="AC11" s="1" t="s">
        <v>56</v>
      </c>
      <c r="AD11" s="1" t="s">
        <v>56</v>
      </c>
      <c r="AE11" s="1" t="s">
        <v>56</v>
      </c>
      <c r="AF11" s="1" t="s">
        <v>56</v>
      </c>
      <c r="AG11" s="1" t="s">
        <v>56</v>
      </c>
      <c r="AH11" s="1" t="s">
        <v>56</v>
      </c>
      <c r="AI11" s="1" t="s">
        <v>57</v>
      </c>
      <c r="AJ11" s="1" t="s">
        <v>57</v>
      </c>
      <c r="AK11" s="1" t="s">
        <v>56</v>
      </c>
      <c r="AL11" s="1" t="s">
        <v>57</v>
      </c>
      <c r="AM11" s="1" t="s">
        <v>57</v>
      </c>
      <c r="AN11" s="1" t="s">
        <v>56</v>
      </c>
      <c r="AO11" s="1" t="s">
        <v>58</v>
      </c>
      <c r="AP11" s="1" t="s">
        <v>57</v>
      </c>
      <c r="AQ11" s="1" t="s">
        <v>56</v>
      </c>
      <c r="AR11" s="1" t="s">
        <v>59</v>
      </c>
      <c r="AS11" s="1" t="s">
        <v>60</v>
      </c>
    </row>
    <row r="12" spans="1:45" x14ac:dyDescent="0.25">
      <c r="A12" s="1" t="s">
        <v>106</v>
      </c>
      <c r="B12" s="1" t="s">
        <v>107</v>
      </c>
      <c r="C12" s="1" t="s">
        <v>47</v>
      </c>
      <c r="D12" s="1" t="s">
        <v>48</v>
      </c>
      <c r="E12" s="1" t="s">
        <v>49</v>
      </c>
      <c r="F12" s="1" t="s">
        <v>49</v>
      </c>
      <c r="G12" s="1" t="s">
        <v>50</v>
      </c>
      <c r="H12" s="1" t="s">
        <v>51</v>
      </c>
      <c r="I12" s="1" t="s">
        <v>108</v>
      </c>
      <c r="J12" s="1" t="s">
        <v>109</v>
      </c>
      <c r="K12" s="1" t="s">
        <v>110</v>
      </c>
      <c r="L12" s="1" t="s">
        <v>55</v>
      </c>
      <c r="M12" s="1" t="s">
        <v>55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55</v>
      </c>
      <c r="V12" s="1" t="s">
        <v>55</v>
      </c>
      <c r="W12" s="1" t="s">
        <v>55</v>
      </c>
      <c r="X12" s="1" t="s">
        <v>55</v>
      </c>
      <c r="Y12" s="1" t="s">
        <v>50</v>
      </c>
      <c r="Z12" t="str">
        <f>_xll.BDP($B12,"CUST_TRR_RETURN_HOLDING_PER","CUST_TRR_START_DT","20260401","CUST_TRR_END_DT","20260430","CUST_TRR_CRNCY","USD")</f>
        <v>#N/A N/A</v>
      </c>
      <c r="AA12" t="str">
        <f>_xll.BDP($B12,"CUST_TRR_RETURN_HOLDING_PER","CUST_TRR_START_DT","20260501","CUST_TRR_END_DT","20260531","CUST_TRR_CRNCY","USD")</f>
        <v>#N/A N/A</v>
      </c>
      <c r="AB12" t="str">
        <f>_xll.BDP($B12,"CUST_TRR_RETURN_HOLDING_PER","CUST_TRR_START_DT","20260601","CUST_TRR_END_DT","20260630","CUST_TRR_CRNCY","USD")</f>
        <v>#N/A N/A</v>
      </c>
      <c r="AC12" s="1" t="s">
        <v>56</v>
      </c>
      <c r="AD12" s="1" t="s">
        <v>56</v>
      </c>
      <c r="AE12" s="1" t="s">
        <v>56</v>
      </c>
      <c r="AF12" s="1" t="s">
        <v>56</v>
      </c>
      <c r="AG12" s="1" t="s">
        <v>56</v>
      </c>
      <c r="AH12" s="1" t="s">
        <v>56</v>
      </c>
      <c r="AI12" s="1" t="s">
        <v>57</v>
      </c>
      <c r="AJ12" s="1" t="s">
        <v>57</v>
      </c>
      <c r="AK12" s="1" t="s">
        <v>56</v>
      </c>
      <c r="AL12" s="1" t="s">
        <v>57</v>
      </c>
      <c r="AM12" s="1" t="s">
        <v>57</v>
      </c>
      <c r="AN12" s="1" t="s">
        <v>56</v>
      </c>
      <c r="AO12" s="1" t="s">
        <v>111</v>
      </c>
      <c r="AP12" s="1" t="s">
        <v>57</v>
      </c>
      <c r="AQ12" s="1" t="s">
        <v>56</v>
      </c>
      <c r="AR12" s="1" t="s">
        <v>112</v>
      </c>
      <c r="AS12" s="1" t="s">
        <v>113</v>
      </c>
    </row>
    <row r="13" spans="1:45" x14ac:dyDescent="0.25">
      <c r="A13" s="1" t="s">
        <v>114</v>
      </c>
      <c r="B13" s="1" t="s">
        <v>115</v>
      </c>
      <c r="C13" s="1" t="s">
        <v>47</v>
      </c>
      <c r="D13" s="1" t="s">
        <v>48</v>
      </c>
      <c r="E13" s="1" t="s">
        <v>49</v>
      </c>
      <c r="F13" s="1" t="s">
        <v>49</v>
      </c>
      <c r="G13" s="1" t="s">
        <v>50</v>
      </c>
      <c r="H13" s="1" t="s">
        <v>51</v>
      </c>
      <c r="I13" s="1" t="s">
        <v>116</v>
      </c>
      <c r="J13" s="1" t="s">
        <v>117</v>
      </c>
      <c r="K13" s="1" t="s">
        <v>118</v>
      </c>
      <c r="L13" s="1" t="s">
        <v>55</v>
      </c>
      <c r="M13" s="1" t="s">
        <v>55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55</v>
      </c>
      <c r="V13" s="1" t="s">
        <v>55</v>
      </c>
      <c r="W13" s="1" t="s">
        <v>55</v>
      </c>
      <c r="X13" s="1" t="s">
        <v>55</v>
      </c>
      <c r="Y13" s="1" t="s">
        <v>50</v>
      </c>
      <c r="Z13" t="str">
        <f>_xll.BDP($B13,"CUST_TRR_RETURN_HOLDING_PER","CUST_TRR_START_DT","20260401","CUST_TRR_END_DT","20260430","CUST_TRR_CRNCY","USD")</f>
        <v>#N/A N/A</v>
      </c>
      <c r="AA13">
        <f>_xll.BDP($B13,"CUST_TRR_RETURN_HOLDING_PER","CUST_TRR_START_DT","20260501","CUST_TRR_END_DT","20260531","CUST_TRR_CRNCY","USD")</f>
        <v>1.408709</v>
      </c>
      <c r="AB13" t="str">
        <f>_xll.BDP($B13,"CUST_TRR_RETURN_HOLDING_PER","CUST_TRR_START_DT","20260601","CUST_TRR_END_DT","20260630","CUST_TRR_CRNCY","USD")</f>
        <v>#N/A N/A</v>
      </c>
      <c r="AC13" s="1" t="s">
        <v>56</v>
      </c>
      <c r="AD13" s="1" t="s">
        <v>56</v>
      </c>
      <c r="AE13" s="1" t="s">
        <v>56</v>
      </c>
      <c r="AF13" s="1" t="s">
        <v>56</v>
      </c>
      <c r="AG13" s="1" t="s">
        <v>56</v>
      </c>
      <c r="AH13" s="1" t="s">
        <v>56</v>
      </c>
      <c r="AI13" s="1" t="s">
        <v>57</v>
      </c>
      <c r="AJ13" s="1" t="s">
        <v>57</v>
      </c>
      <c r="AK13" s="1" t="s">
        <v>56</v>
      </c>
      <c r="AL13" s="1" t="s">
        <v>119</v>
      </c>
      <c r="AM13" s="1" t="s">
        <v>57</v>
      </c>
      <c r="AN13" s="1" t="s">
        <v>56</v>
      </c>
      <c r="AO13" s="1" t="s">
        <v>120</v>
      </c>
      <c r="AP13" s="1" t="s">
        <v>57</v>
      </c>
      <c r="AQ13" s="1" t="s">
        <v>56</v>
      </c>
      <c r="AR13" s="1" t="s">
        <v>59</v>
      </c>
      <c r="AS13" s="1" t="s">
        <v>60</v>
      </c>
    </row>
    <row r="14" spans="1:45" x14ac:dyDescent="0.25">
      <c r="A14" s="1" t="s">
        <v>121</v>
      </c>
      <c r="B14" s="1" t="s">
        <v>122</v>
      </c>
      <c r="C14" s="1" t="s">
        <v>47</v>
      </c>
      <c r="D14" s="1" t="s">
        <v>48</v>
      </c>
      <c r="E14" s="1" t="s">
        <v>49</v>
      </c>
      <c r="F14" s="1" t="s">
        <v>49</v>
      </c>
      <c r="G14" s="1" t="s">
        <v>50</v>
      </c>
      <c r="H14" s="1" t="s">
        <v>51</v>
      </c>
      <c r="I14" s="1" t="s">
        <v>123</v>
      </c>
      <c r="J14" s="1" t="s">
        <v>124</v>
      </c>
      <c r="K14" s="1" t="s">
        <v>125</v>
      </c>
      <c r="L14" s="1" t="s">
        <v>55</v>
      </c>
      <c r="M14" s="1" t="s">
        <v>55</v>
      </c>
      <c r="N14" s="1" t="s">
        <v>55</v>
      </c>
      <c r="O14" s="1" t="s">
        <v>55</v>
      </c>
      <c r="P14" s="1" t="s">
        <v>55</v>
      </c>
      <c r="Q14" s="1" t="s">
        <v>55</v>
      </c>
      <c r="R14" s="1" t="s">
        <v>55</v>
      </c>
      <c r="S14" s="1" t="s">
        <v>55</v>
      </c>
      <c r="T14" s="1" t="s">
        <v>55</v>
      </c>
      <c r="U14" s="1" t="s">
        <v>55</v>
      </c>
      <c r="V14" s="1" t="s">
        <v>55</v>
      </c>
      <c r="W14" s="1" t="s">
        <v>55</v>
      </c>
      <c r="X14" s="1" t="s">
        <v>55</v>
      </c>
      <c r="Y14" s="1" t="s">
        <v>50</v>
      </c>
      <c r="Z14" t="str">
        <f>_xll.BDP($B14,"CUST_TRR_RETURN_HOLDING_PER","CUST_TRR_START_DT","20260401","CUST_TRR_END_DT","20260430","CUST_TRR_CRNCY","USD")</f>
        <v>#N/A N/A</v>
      </c>
      <c r="AA14" t="str">
        <f>_xll.BDP($B14,"CUST_TRR_RETURN_HOLDING_PER","CUST_TRR_START_DT","20260501","CUST_TRR_END_DT","20260531","CUST_TRR_CRNCY","USD")</f>
        <v>#N/A N/A</v>
      </c>
      <c r="AB14" t="str">
        <f>_xll.BDP($B14,"CUST_TRR_RETURN_HOLDING_PER","CUST_TRR_START_DT","20260601","CUST_TRR_END_DT","20260630","CUST_TRR_CRNCY","USD")</f>
        <v>#N/A N/A</v>
      </c>
      <c r="AC14" s="1" t="s">
        <v>56</v>
      </c>
      <c r="AD14" s="1" t="s">
        <v>56</v>
      </c>
      <c r="AE14" s="1" t="s">
        <v>56</v>
      </c>
      <c r="AF14" s="1" t="s">
        <v>56</v>
      </c>
      <c r="AG14" s="1" t="s">
        <v>56</v>
      </c>
      <c r="AH14" s="1" t="s">
        <v>56</v>
      </c>
      <c r="AI14" s="1" t="s">
        <v>57</v>
      </c>
      <c r="AJ14" s="1" t="s">
        <v>57</v>
      </c>
      <c r="AK14" s="1" t="s">
        <v>56</v>
      </c>
      <c r="AL14" s="1" t="s">
        <v>57</v>
      </c>
      <c r="AM14" s="1" t="s">
        <v>57</v>
      </c>
      <c r="AN14" s="1" t="s">
        <v>56</v>
      </c>
      <c r="AO14" s="1" t="s">
        <v>126</v>
      </c>
      <c r="AP14" s="1" t="s">
        <v>57</v>
      </c>
      <c r="AQ14" s="1" t="s">
        <v>56</v>
      </c>
      <c r="AR14" s="1" t="s">
        <v>89</v>
      </c>
      <c r="AS14" s="1" t="s">
        <v>90</v>
      </c>
    </row>
    <row r="15" spans="1:45" x14ac:dyDescent="0.25">
      <c r="A15" s="1" t="s">
        <v>127</v>
      </c>
      <c r="B15" s="1" t="s">
        <v>128</v>
      </c>
      <c r="C15" s="1" t="s">
        <v>47</v>
      </c>
      <c r="D15" s="1" t="s">
        <v>48</v>
      </c>
      <c r="E15" s="1" t="s">
        <v>49</v>
      </c>
      <c r="F15" s="1" t="s">
        <v>49</v>
      </c>
      <c r="G15" s="1" t="s">
        <v>50</v>
      </c>
      <c r="H15" s="1" t="s">
        <v>51</v>
      </c>
      <c r="I15" s="1" t="s">
        <v>129</v>
      </c>
      <c r="J15" s="1" t="s">
        <v>57</v>
      </c>
      <c r="K15" s="1" t="s">
        <v>129</v>
      </c>
      <c r="L15" s="1" t="s">
        <v>55</v>
      </c>
      <c r="M15" s="1" t="s">
        <v>55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55</v>
      </c>
      <c r="S15" s="1" t="s">
        <v>55</v>
      </c>
      <c r="T15" s="1" t="s">
        <v>55</v>
      </c>
      <c r="U15" s="1" t="s">
        <v>55</v>
      </c>
      <c r="V15" s="1" t="s">
        <v>55</v>
      </c>
      <c r="W15" s="1" t="s">
        <v>55</v>
      </c>
      <c r="X15" s="1" t="s">
        <v>55</v>
      </c>
      <c r="Y15" s="1" t="s">
        <v>50</v>
      </c>
      <c r="Z15" t="str">
        <f>_xll.BDP($B15,"CUST_TRR_RETURN_HOLDING_PER","CUST_TRR_START_DT","20260401","CUST_TRR_END_DT","20260430","CUST_TRR_CRNCY","USD")</f>
        <v>#N/A N/A</v>
      </c>
      <c r="AA15" t="str">
        <f>_xll.BDP($B15,"CUST_TRR_RETURN_HOLDING_PER","CUST_TRR_START_DT","20260501","CUST_TRR_END_DT","20260531","CUST_TRR_CRNCY","USD")</f>
        <v>#N/A N/A</v>
      </c>
      <c r="AB15" t="str">
        <f>_xll.BDP($B15,"CUST_TRR_RETURN_HOLDING_PER","CUST_TRR_START_DT","20260601","CUST_TRR_END_DT","20260630","CUST_TRR_CRNCY","USD")</f>
        <v>#N/A N/A</v>
      </c>
      <c r="AC15" s="1" t="s">
        <v>56</v>
      </c>
      <c r="AD15" s="1" t="s">
        <v>56</v>
      </c>
      <c r="AE15" s="1" t="s">
        <v>56</v>
      </c>
      <c r="AF15" s="1" t="s">
        <v>56</v>
      </c>
      <c r="AG15" s="1" t="s">
        <v>56</v>
      </c>
      <c r="AH15" s="1" t="s">
        <v>56</v>
      </c>
      <c r="AI15" s="1" t="s">
        <v>57</v>
      </c>
      <c r="AJ15" s="1" t="s">
        <v>57</v>
      </c>
      <c r="AK15" s="1" t="s">
        <v>56</v>
      </c>
      <c r="AL15" s="1" t="s">
        <v>57</v>
      </c>
      <c r="AM15" s="1" t="s">
        <v>57</v>
      </c>
      <c r="AN15" s="1" t="s">
        <v>56</v>
      </c>
      <c r="AO15" s="1" t="s">
        <v>130</v>
      </c>
      <c r="AP15" s="1" t="s">
        <v>57</v>
      </c>
      <c r="AQ15" s="1" t="s">
        <v>56</v>
      </c>
      <c r="AR15" s="1" t="s">
        <v>131</v>
      </c>
      <c r="AS15" s="1" t="s">
        <v>132</v>
      </c>
    </row>
    <row r="16" spans="1:45" x14ac:dyDescent="0.25">
      <c r="A16" s="1" t="s">
        <v>133</v>
      </c>
      <c r="B16" s="1" t="s">
        <v>134</v>
      </c>
      <c r="C16" s="1" t="s">
        <v>47</v>
      </c>
      <c r="D16" s="1" t="s">
        <v>48</v>
      </c>
      <c r="E16" s="1" t="s">
        <v>49</v>
      </c>
      <c r="F16" s="1" t="s">
        <v>49</v>
      </c>
      <c r="G16" s="1" t="s">
        <v>50</v>
      </c>
      <c r="H16" s="1" t="s">
        <v>51</v>
      </c>
      <c r="I16" s="1" t="s">
        <v>135</v>
      </c>
      <c r="J16" s="1" t="s">
        <v>57</v>
      </c>
      <c r="K16" s="1" t="s">
        <v>135</v>
      </c>
      <c r="L16" s="1" t="s">
        <v>55</v>
      </c>
      <c r="M16" s="1" t="s">
        <v>55</v>
      </c>
      <c r="N16" s="1" t="s">
        <v>55</v>
      </c>
      <c r="O16" s="1" t="s">
        <v>55</v>
      </c>
      <c r="P16" s="1" t="s">
        <v>55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55</v>
      </c>
      <c r="V16" s="1" t="s">
        <v>55</v>
      </c>
      <c r="W16" s="1" t="s">
        <v>55</v>
      </c>
      <c r="X16" s="1" t="s">
        <v>55</v>
      </c>
      <c r="Y16" s="1" t="s">
        <v>50</v>
      </c>
      <c r="Z16" t="str">
        <f>_xll.BDP($B16,"CUST_TRR_RETURN_HOLDING_PER","CUST_TRR_START_DT","20260401","CUST_TRR_END_DT","20260430","CUST_TRR_CRNCY","USD")</f>
        <v>#N/A N/A</v>
      </c>
      <c r="AA16" t="str">
        <f>_xll.BDP($B16,"CUST_TRR_RETURN_HOLDING_PER","CUST_TRR_START_DT","20260501","CUST_TRR_END_DT","20260531","CUST_TRR_CRNCY","USD")</f>
        <v>#N/A N/A</v>
      </c>
      <c r="AB16" t="str">
        <f>_xll.BDP($B16,"CUST_TRR_RETURN_HOLDING_PER","CUST_TRR_START_DT","20260601","CUST_TRR_END_DT","20260630","CUST_TRR_CRNCY","USD")</f>
        <v>#N/A N/A</v>
      </c>
      <c r="AC16" s="1" t="s">
        <v>56</v>
      </c>
      <c r="AD16" s="1" t="s">
        <v>56</v>
      </c>
      <c r="AE16" s="1" t="s">
        <v>56</v>
      </c>
      <c r="AF16" s="1" t="s">
        <v>56</v>
      </c>
      <c r="AG16" s="1" t="s">
        <v>56</v>
      </c>
      <c r="AH16" s="1" t="s">
        <v>56</v>
      </c>
      <c r="AI16" s="1" t="s">
        <v>57</v>
      </c>
      <c r="AJ16" s="1" t="s">
        <v>57</v>
      </c>
      <c r="AK16" s="1" t="s">
        <v>56</v>
      </c>
      <c r="AL16" s="1" t="s">
        <v>57</v>
      </c>
      <c r="AM16" s="1" t="s">
        <v>57</v>
      </c>
      <c r="AN16" s="1" t="s">
        <v>56</v>
      </c>
      <c r="AO16" s="1" t="s">
        <v>136</v>
      </c>
      <c r="AP16" s="1" t="s">
        <v>57</v>
      </c>
      <c r="AQ16" s="1" t="s">
        <v>56</v>
      </c>
      <c r="AR16" s="1" t="s">
        <v>137</v>
      </c>
      <c r="AS16" s="1" t="s">
        <v>138</v>
      </c>
    </row>
    <row r="17" spans="1:45" x14ac:dyDescent="0.25">
      <c r="A17" s="1" t="s">
        <v>139</v>
      </c>
      <c r="B17" s="1" t="s">
        <v>140</v>
      </c>
      <c r="C17" s="1" t="s">
        <v>47</v>
      </c>
      <c r="D17" s="1" t="s">
        <v>48</v>
      </c>
      <c r="E17" s="1" t="s">
        <v>49</v>
      </c>
      <c r="F17" s="1" t="s">
        <v>49</v>
      </c>
      <c r="G17" s="1" t="s">
        <v>50</v>
      </c>
      <c r="H17" s="1" t="s">
        <v>51</v>
      </c>
      <c r="I17" s="1" t="s">
        <v>141</v>
      </c>
      <c r="J17" s="1" t="s">
        <v>57</v>
      </c>
      <c r="K17" s="1" t="s">
        <v>141</v>
      </c>
      <c r="L17" s="1" t="s">
        <v>55</v>
      </c>
      <c r="M17" s="1" t="s">
        <v>55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55</v>
      </c>
      <c r="V17" s="1" t="s">
        <v>55</v>
      </c>
      <c r="W17" s="1" t="s">
        <v>55</v>
      </c>
      <c r="X17" s="1" t="s">
        <v>55</v>
      </c>
      <c r="Y17" s="1" t="s">
        <v>50</v>
      </c>
      <c r="Z17" t="str">
        <f>_xll.BDP($B17,"CUST_TRR_RETURN_HOLDING_PER","CUST_TRR_START_DT","20260401","CUST_TRR_END_DT","20260430","CUST_TRR_CRNCY","USD")</f>
        <v>#N/A N/A</v>
      </c>
      <c r="AA17" t="str">
        <f>_xll.BDP($B17,"CUST_TRR_RETURN_HOLDING_PER","CUST_TRR_START_DT","20260501","CUST_TRR_END_DT","20260531","CUST_TRR_CRNCY","USD")</f>
        <v>#N/A N/A</v>
      </c>
      <c r="AB17" t="str">
        <f>_xll.BDP($B17,"CUST_TRR_RETURN_HOLDING_PER","CUST_TRR_START_DT","20260601","CUST_TRR_END_DT","20260630","CUST_TRR_CRNCY","USD")</f>
        <v>#N/A N/A</v>
      </c>
      <c r="AC17" s="1" t="s">
        <v>56</v>
      </c>
      <c r="AD17" s="1" t="s">
        <v>56</v>
      </c>
      <c r="AE17" s="1" t="s">
        <v>56</v>
      </c>
      <c r="AF17" s="1" t="s">
        <v>56</v>
      </c>
      <c r="AG17" s="1" t="s">
        <v>56</v>
      </c>
      <c r="AH17" s="1" t="s">
        <v>56</v>
      </c>
      <c r="AI17" s="1" t="s">
        <v>57</v>
      </c>
      <c r="AJ17" s="1" t="s">
        <v>57</v>
      </c>
      <c r="AK17" s="1" t="s">
        <v>56</v>
      </c>
      <c r="AL17" s="1" t="s">
        <v>57</v>
      </c>
      <c r="AM17" s="1" t="s">
        <v>57</v>
      </c>
      <c r="AN17" s="1" t="s">
        <v>56</v>
      </c>
      <c r="AO17" s="1" t="s">
        <v>142</v>
      </c>
      <c r="AP17" s="1" t="s">
        <v>57</v>
      </c>
      <c r="AQ17" s="1" t="s">
        <v>56</v>
      </c>
      <c r="AR17" s="1" t="s">
        <v>143</v>
      </c>
      <c r="AS17" s="1" t="s">
        <v>144</v>
      </c>
    </row>
    <row r="18" spans="1:45" x14ac:dyDescent="0.25">
      <c r="A18" s="1" t="s">
        <v>145</v>
      </c>
      <c r="B18" s="1" t="s">
        <v>146</v>
      </c>
      <c r="C18" s="1" t="s">
        <v>47</v>
      </c>
      <c r="D18" s="1" t="s">
        <v>48</v>
      </c>
      <c r="E18" s="1" t="s">
        <v>49</v>
      </c>
      <c r="F18" s="1" t="s">
        <v>49</v>
      </c>
      <c r="G18" s="1" t="s">
        <v>50</v>
      </c>
      <c r="H18" s="1" t="s">
        <v>51</v>
      </c>
      <c r="I18" s="1" t="s">
        <v>147</v>
      </c>
      <c r="J18" s="1" t="s">
        <v>57</v>
      </c>
      <c r="K18" s="1" t="s">
        <v>147</v>
      </c>
      <c r="L18" s="1" t="s">
        <v>55</v>
      </c>
      <c r="M18" s="1" t="s">
        <v>55</v>
      </c>
      <c r="N18" s="1" t="s">
        <v>55</v>
      </c>
      <c r="O18" s="1" t="s">
        <v>55</v>
      </c>
      <c r="P18" s="1" t="s">
        <v>55</v>
      </c>
      <c r="Q18" s="1" t="s">
        <v>55</v>
      </c>
      <c r="R18" s="1" t="s">
        <v>55</v>
      </c>
      <c r="S18" s="1" t="s">
        <v>55</v>
      </c>
      <c r="T18" s="1" t="s">
        <v>55</v>
      </c>
      <c r="U18" s="1" t="s">
        <v>55</v>
      </c>
      <c r="V18" s="1" t="s">
        <v>55</v>
      </c>
      <c r="W18" s="1" t="s">
        <v>55</v>
      </c>
      <c r="X18" s="1" t="s">
        <v>55</v>
      </c>
      <c r="Y18" s="1" t="s">
        <v>50</v>
      </c>
      <c r="Z18" t="str">
        <f>_xll.BDP($B18,"CUST_TRR_RETURN_HOLDING_PER","CUST_TRR_START_DT","20260401","CUST_TRR_END_DT","20260430","CUST_TRR_CRNCY","USD")</f>
        <v>#N/A N/A</v>
      </c>
      <c r="AA18" t="str">
        <f>_xll.BDP($B18,"CUST_TRR_RETURN_HOLDING_PER","CUST_TRR_START_DT","20260501","CUST_TRR_END_DT","20260531","CUST_TRR_CRNCY","USD")</f>
        <v>#N/A N/A</v>
      </c>
      <c r="AB18" t="str">
        <f>_xll.BDP($B18,"CUST_TRR_RETURN_HOLDING_PER","CUST_TRR_START_DT","20260601","CUST_TRR_END_DT","20260630","CUST_TRR_CRNCY","USD")</f>
        <v>#N/A N/A</v>
      </c>
      <c r="AC18" s="1" t="s">
        <v>56</v>
      </c>
      <c r="AD18" s="1" t="s">
        <v>56</v>
      </c>
      <c r="AE18" s="1" t="s">
        <v>56</v>
      </c>
      <c r="AF18" s="1" t="s">
        <v>56</v>
      </c>
      <c r="AG18" s="1" t="s">
        <v>56</v>
      </c>
      <c r="AH18" s="1" t="s">
        <v>56</v>
      </c>
      <c r="AI18" s="1" t="s">
        <v>57</v>
      </c>
      <c r="AJ18" s="1" t="s">
        <v>57</v>
      </c>
      <c r="AK18" s="1" t="s">
        <v>56</v>
      </c>
      <c r="AL18" s="1" t="s">
        <v>57</v>
      </c>
      <c r="AM18" s="1" t="s">
        <v>57</v>
      </c>
      <c r="AN18" s="1" t="s">
        <v>56</v>
      </c>
      <c r="AO18" s="1" t="s">
        <v>148</v>
      </c>
      <c r="AP18" s="1" t="s">
        <v>57</v>
      </c>
      <c r="AQ18" s="1" t="s">
        <v>56</v>
      </c>
      <c r="AR18" s="1" t="s">
        <v>149</v>
      </c>
      <c r="AS18" s="1" t="s">
        <v>150</v>
      </c>
    </row>
    <row r="19" spans="1:45" x14ac:dyDescent="0.25">
      <c r="A19" s="1" t="s">
        <v>151</v>
      </c>
      <c r="B19" s="1" t="s">
        <v>152</v>
      </c>
      <c r="C19" s="1" t="s">
        <v>47</v>
      </c>
      <c r="D19" s="1" t="s">
        <v>48</v>
      </c>
      <c r="E19" s="1" t="s">
        <v>49</v>
      </c>
      <c r="F19" s="1" t="s">
        <v>49</v>
      </c>
      <c r="G19" s="1" t="s">
        <v>50</v>
      </c>
      <c r="H19" s="1" t="s">
        <v>51</v>
      </c>
      <c r="I19" s="1" t="s">
        <v>153</v>
      </c>
      <c r="J19" s="1" t="s">
        <v>154</v>
      </c>
      <c r="K19" s="1" t="s">
        <v>155</v>
      </c>
      <c r="L19" s="1" t="s">
        <v>55</v>
      </c>
      <c r="M19" s="1" t="s">
        <v>55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55</v>
      </c>
      <c r="U19" s="1" t="s">
        <v>55</v>
      </c>
      <c r="V19" s="1" t="s">
        <v>55</v>
      </c>
      <c r="W19" s="1" t="s">
        <v>55</v>
      </c>
      <c r="X19" s="1" t="s">
        <v>55</v>
      </c>
      <c r="Y19" s="1" t="s">
        <v>50</v>
      </c>
      <c r="Z19" t="str">
        <f>_xll.BDP($B19,"CUST_TRR_RETURN_HOLDING_PER","CUST_TRR_START_DT","20260401","CUST_TRR_END_DT","20260430","CUST_TRR_CRNCY","USD")</f>
        <v>#N/A N/A</v>
      </c>
      <c r="AA19" t="str">
        <f>_xll.BDP($B19,"CUST_TRR_RETURN_HOLDING_PER","CUST_TRR_START_DT","20260501","CUST_TRR_END_DT","20260531","CUST_TRR_CRNCY","USD")</f>
        <v>#N/A N/A</v>
      </c>
      <c r="AB19" t="str">
        <f>_xll.BDP($B19,"CUST_TRR_RETURN_HOLDING_PER","CUST_TRR_START_DT","20260601","CUST_TRR_END_DT","20260630","CUST_TRR_CRNCY","USD")</f>
        <v>#N/A N/A</v>
      </c>
      <c r="AC19" s="1" t="s">
        <v>56</v>
      </c>
      <c r="AD19" s="1" t="s">
        <v>56</v>
      </c>
      <c r="AE19" s="1" t="s">
        <v>56</v>
      </c>
      <c r="AF19" s="1" t="s">
        <v>56</v>
      </c>
      <c r="AG19" s="1" t="s">
        <v>56</v>
      </c>
      <c r="AH19" s="1" t="s">
        <v>56</v>
      </c>
      <c r="AI19" s="1" t="s">
        <v>57</v>
      </c>
      <c r="AJ19" s="1" t="s">
        <v>57</v>
      </c>
      <c r="AK19" s="1" t="s">
        <v>56</v>
      </c>
      <c r="AL19" s="1" t="s">
        <v>57</v>
      </c>
      <c r="AM19" s="1" t="s">
        <v>57</v>
      </c>
      <c r="AN19" s="1" t="s">
        <v>56</v>
      </c>
      <c r="AO19" s="1" t="s">
        <v>156</v>
      </c>
      <c r="AP19" s="1" t="s">
        <v>57</v>
      </c>
      <c r="AQ19" s="1" t="s">
        <v>56</v>
      </c>
      <c r="AR19" s="1" t="s">
        <v>59</v>
      </c>
      <c r="AS19" s="1" t="s">
        <v>60</v>
      </c>
    </row>
    <row r="20" spans="1:45" x14ac:dyDescent="0.25">
      <c r="A20" s="1" t="s">
        <v>157</v>
      </c>
      <c r="B20" s="1" t="s">
        <v>158</v>
      </c>
      <c r="C20" s="1" t="s">
        <v>47</v>
      </c>
      <c r="D20" s="1" t="s">
        <v>48</v>
      </c>
      <c r="E20" s="1" t="s">
        <v>49</v>
      </c>
      <c r="F20" s="1" t="s">
        <v>49</v>
      </c>
      <c r="G20" s="1" t="s">
        <v>50</v>
      </c>
      <c r="H20" s="1" t="s">
        <v>51</v>
      </c>
      <c r="I20" s="1" t="s">
        <v>159</v>
      </c>
      <c r="J20" s="1" t="s">
        <v>160</v>
      </c>
      <c r="K20" s="1" t="s">
        <v>161</v>
      </c>
      <c r="L20" s="1" t="s">
        <v>55</v>
      </c>
      <c r="M20" s="1" t="s">
        <v>55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  <c r="S20" s="1" t="s">
        <v>55</v>
      </c>
      <c r="T20" s="1" t="s">
        <v>55</v>
      </c>
      <c r="U20" s="1" t="s">
        <v>55</v>
      </c>
      <c r="V20" s="1" t="s">
        <v>55</v>
      </c>
      <c r="W20" s="1" t="s">
        <v>55</v>
      </c>
      <c r="X20" s="1" t="s">
        <v>55</v>
      </c>
      <c r="Y20" s="1" t="s">
        <v>50</v>
      </c>
      <c r="Z20" t="str">
        <f>_xll.BDP($B20,"CUST_TRR_RETURN_HOLDING_PER","CUST_TRR_START_DT","20260401","CUST_TRR_END_DT","20260430","CUST_TRR_CRNCY","USD")</f>
        <v>#N/A N/A</v>
      </c>
      <c r="AA20">
        <f>_xll.BDP($B20,"CUST_TRR_RETURN_HOLDING_PER","CUST_TRR_START_DT","20260501","CUST_TRR_END_DT","20260531","CUST_TRR_CRNCY","USD")</f>
        <v>3.1092019999999998</v>
      </c>
      <c r="AB20" t="str">
        <f>_xll.BDP($B20,"CUST_TRR_RETURN_HOLDING_PER","CUST_TRR_START_DT","20260601","CUST_TRR_END_DT","20260630","CUST_TRR_CRNCY","USD")</f>
        <v>#N/A N/A</v>
      </c>
      <c r="AC20" s="1" t="s">
        <v>56</v>
      </c>
      <c r="AD20" s="1" t="s">
        <v>56</v>
      </c>
      <c r="AE20" s="1" t="s">
        <v>56</v>
      </c>
      <c r="AF20" s="1" t="s">
        <v>56</v>
      </c>
      <c r="AG20" s="1" t="s">
        <v>56</v>
      </c>
      <c r="AH20" s="1" t="s">
        <v>56</v>
      </c>
      <c r="AI20" s="1" t="s">
        <v>57</v>
      </c>
      <c r="AJ20" s="1" t="s">
        <v>57</v>
      </c>
      <c r="AK20" s="1" t="s">
        <v>56</v>
      </c>
      <c r="AL20" s="1" t="s">
        <v>162</v>
      </c>
      <c r="AM20" s="1" t="s">
        <v>57</v>
      </c>
      <c r="AN20" s="1" t="s">
        <v>56</v>
      </c>
      <c r="AO20" s="1" t="s">
        <v>163</v>
      </c>
      <c r="AP20" s="1" t="s">
        <v>57</v>
      </c>
      <c r="AQ20" s="1" t="s">
        <v>56</v>
      </c>
      <c r="AR20" s="1" t="s">
        <v>59</v>
      </c>
      <c r="AS20" s="1" t="s">
        <v>60</v>
      </c>
    </row>
    <row r="21" spans="1:45" x14ac:dyDescent="0.25">
      <c r="A21" s="1" t="s">
        <v>164</v>
      </c>
      <c r="B21" s="1" t="s">
        <v>165</v>
      </c>
      <c r="C21" s="1" t="s">
        <v>47</v>
      </c>
      <c r="D21" s="1" t="s">
        <v>48</v>
      </c>
      <c r="E21" s="1" t="s">
        <v>49</v>
      </c>
      <c r="F21" s="1" t="s">
        <v>49</v>
      </c>
      <c r="G21" s="1" t="s">
        <v>50</v>
      </c>
      <c r="H21" s="1" t="s">
        <v>51</v>
      </c>
      <c r="I21" s="1" t="s">
        <v>166</v>
      </c>
      <c r="J21" s="1" t="s">
        <v>167</v>
      </c>
      <c r="K21" s="1" t="s">
        <v>168</v>
      </c>
      <c r="L21" s="1" t="s">
        <v>55</v>
      </c>
      <c r="M21" s="1" t="s">
        <v>55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55</v>
      </c>
      <c r="U21" s="1" t="s">
        <v>55</v>
      </c>
      <c r="V21" s="1" t="s">
        <v>55</v>
      </c>
      <c r="W21" s="1" t="s">
        <v>55</v>
      </c>
      <c r="X21" s="1" t="s">
        <v>55</v>
      </c>
      <c r="Y21" s="1" t="s">
        <v>50</v>
      </c>
      <c r="Z21" t="str">
        <f>_xll.BDP($B21,"CUST_TRR_RETURN_HOLDING_PER","CUST_TRR_START_DT","20260401","CUST_TRR_END_DT","20260430","CUST_TRR_CRNCY","USD")</f>
        <v>#N/A N/A</v>
      </c>
      <c r="AA21">
        <f>_xll.BDP($B21,"CUST_TRR_RETURN_HOLDING_PER","CUST_TRR_START_DT","20260501","CUST_TRR_END_DT","20260531","CUST_TRR_CRNCY","USD")</f>
        <v>1.9713769999999999</v>
      </c>
      <c r="AB21" t="str">
        <f>_xll.BDP($B21,"CUST_TRR_RETURN_HOLDING_PER","CUST_TRR_START_DT","20260601","CUST_TRR_END_DT","20260630","CUST_TRR_CRNCY","USD")</f>
        <v>#N/A N/A</v>
      </c>
      <c r="AC21" s="1" t="s">
        <v>56</v>
      </c>
      <c r="AD21" s="1" t="s">
        <v>56</v>
      </c>
      <c r="AE21" s="1" t="s">
        <v>56</v>
      </c>
      <c r="AF21" s="1" t="s">
        <v>56</v>
      </c>
      <c r="AG21" s="1" t="s">
        <v>56</v>
      </c>
      <c r="AH21" s="1" t="s">
        <v>56</v>
      </c>
      <c r="AI21" s="1" t="s">
        <v>169</v>
      </c>
      <c r="AJ21" s="1" t="s">
        <v>57</v>
      </c>
      <c r="AK21" s="1" t="s">
        <v>56</v>
      </c>
      <c r="AL21" s="1" t="s">
        <v>170</v>
      </c>
      <c r="AM21" s="1" t="s">
        <v>57</v>
      </c>
      <c r="AN21" s="1" t="s">
        <v>56</v>
      </c>
      <c r="AO21" s="1" t="s">
        <v>171</v>
      </c>
      <c r="AP21" s="1" t="s">
        <v>172</v>
      </c>
      <c r="AQ21" s="1" t="s">
        <v>56</v>
      </c>
      <c r="AR21" s="1" t="s">
        <v>173</v>
      </c>
      <c r="AS21" s="1" t="s">
        <v>174</v>
      </c>
    </row>
    <row r="22" spans="1:45" x14ac:dyDescent="0.25">
      <c r="A22" s="1" t="s">
        <v>175</v>
      </c>
      <c r="B22" s="1" t="s">
        <v>176</v>
      </c>
      <c r="C22" s="1" t="s">
        <v>47</v>
      </c>
      <c r="D22" s="1" t="s">
        <v>48</v>
      </c>
      <c r="E22" s="1" t="s">
        <v>49</v>
      </c>
      <c r="F22" s="1" t="s">
        <v>49</v>
      </c>
      <c r="G22" s="1" t="s">
        <v>50</v>
      </c>
      <c r="H22" s="1" t="s">
        <v>51</v>
      </c>
      <c r="I22" s="1" t="s">
        <v>177</v>
      </c>
      <c r="J22" s="1" t="s">
        <v>178</v>
      </c>
      <c r="K22" s="1" t="s">
        <v>179</v>
      </c>
      <c r="L22" s="1" t="s">
        <v>55</v>
      </c>
      <c r="M22" s="1" t="s">
        <v>55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  <c r="S22" s="1" t="s">
        <v>55</v>
      </c>
      <c r="T22" s="1" t="s">
        <v>55</v>
      </c>
      <c r="U22" s="1" t="s">
        <v>55</v>
      </c>
      <c r="V22" s="1" t="s">
        <v>55</v>
      </c>
      <c r="W22" s="1" t="s">
        <v>55</v>
      </c>
      <c r="X22" s="1" t="s">
        <v>55</v>
      </c>
      <c r="Y22" s="1" t="s">
        <v>50</v>
      </c>
      <c r="Z22" t="str">
        <f>_xll.BDP($B22,"CUST_TRR_RETURN_HOLDING_PER","CUST_TRR_START_DT","20260401","CUST_TRR_END_DT","20260430","CUST_TRR_CRNCY","USD")</f>
        <v>#N/A N/A</v>
      </c>
      <c r="AA22">
        <f>_xll.BDP($B22,"CUST_TRR_RETURN_HOLDING_PER","CUST_TRR_START_DT","20260501","CUST_TRR_END_DT","20260531","CUST_TRR_CRNCY","USD")</f>
        <v>22.87913</v>
      </c>
      <c r="AB22" t="str">
        <f>_xll.BDP($B22,"CUST_TRR_RETURN_HOLDING_PER","CUST_TRR_START_DT","20260601","CUST_TRR_END_DT","20260630","CUST_TRR_CRNCY","USD")</f>
        <v>#N/A N/A</v>
      </c>
      <c r="AC22" s="1" t="s">
        <v>56</v>
      </c>
      <c r="AD22" s="1" t="s">
        <v>56</v>
      </c>
      <c r="AE22" s="1" t="s">
        <v>56</v>
      </c>
      <c r="AF22" s="1" t="s">
        <v>56</v>
      </c>
      <c r="AG22" s="1" t="s">
        <v>56</v>
      </c>
      <c r="AH22" s="1" t="s">
        <v>56</v>
      </c>
      <c r="AI22" s="1" t="s">
        <v>57</v>
      </c>
      <c r="AJ22" s="1" t="s">
        <v>57</v>
      </c>
      <c r="AK22" s="1" t="s">
        <v>56</v>
      </c>
      <c r="AL22" s="1" t="s">
        <v>180</v>
      </c>
      <c r="AM22" s="1" t="s">
        <v>57</v>
      </c>
      <c r="AN22" s="1" t="s">
        <v>56</v>
      </c>
      <c r="AO22" s="1" t="s">
        <v>181</v>
      </c>
      <c r="AP22" s="1" t="s">
        <v>57</v>
      </c>
      <c r="AQ22" s="1" t="s">
        <v>56</v>
      </c>
      <c r="AR22" s="1" t="s">
        <v>59</v>
      </c>
      <c r="AS22" s="1" t="s">
        <v>60</v>
      </c>
    </row>
    <row r="23" spans="1:45" x14ac:dyDescent="0.25">
      <c r="A23" s="1" t="s">
        <v>182</v>
      </c>
      <c r="B23" s="1" t="s">
        <v>183</v>
      </c>
      <c r="C23" s="1" t="s">
        <v>47</v>
      </c>
      <c r="D23" s="1" t="s">
        <v>48</v>
      </c>
      <c r="E23" s="1" t="s">
        <v>49</v>
      </c>
      <c r="F23" s="1" t="s">
        <v>49</v>
      </c>
      <c r="G23" s="1" t="s">
        <v>50</v>
      </c>
      <c r="H23" s="1" t="s">
        <v>51</v>
      </c>
      <c r="I23" s="1" t="s">
        <v>184</v>
      </c>
      <c r="J23" s="1" t="s">
        <v>185</v>
      </c>
      <c r="K23" s="1" t="s">
        <v>186</v>
      </c>
      <c r="L23" s="1" t="s">
        <v>55</v>
      </c>
      <c r="M23" s="1" t="s">
        <v>55</v>
      </c>
      <c r="N23" s="1" t="s">
        <v>55</v>
      </c>
      <c r="O23" s="1" t="s">
        <v>55</v>
      </c>
      <c r="P23" s="1" t="s">
        <v>55</v>
      </c>
      <c r="Q23" s="1" t="s">
        <v>55</v>
      </c>
      <c r="R23" s="1" t="s">
        <v>55</v>
      </c>
      <c r="S23" s="1" t="s">
        <v>55</v>
      </c>
      <c r="T23" s="1" t="s">
        <v>55</v>
      </c>
      <c r="U23" s="1" t="s">
        <v>55</v>
      </c>
      <c r="V23" s="1" t="s">
        <v>55</v>
      </c>
      <c r="W23" s="1" t="s">
        <v>55</v>
      </c>
      <c r="X23" s="1" t="s">
        <v>55</v>
      </c>
      <c r="Y23" s="1" t="s">
        <v>50</v>
      </c>
      <c r="Z23" t="str">
        <f>_xll.BDP($B23,"CUST_TRR_RETURN_HOLDING_PER","CUST_TRR_START_DT","20260401","CUST_TRR_END_DT","20260430","CUST_TRR_CRNCY","USD")</f>
        <v>#N/A N/A</v>
      </c>
      <c r="AA23" t="str">
        <f>_xll.BDP($B23,"CUST_TRR_RETURN_HOLDING_PER","CUST_TRR_START_DT","20260501","CUST_TRR_END_DT","20260531","CUST_TRR_CRNCY","USD")</f>
        <v>#N/A N/A</v>
      </c>
      <c r="AB23" t="str">
        <f>_xll.BDP($B23,"CUST_TRR_RETURN_HOLDING_PER","CUST_TRR_START_DT","20260601","CUST_TRR_END_DT","20260630","CUST_TRR_CRNCY","USD")</f>
        <v>#N/A N/A</v>
      </c>
      <c r="AC23" s="1" t="s">
        <v>56</v>
      </c>
      <c r="AD23" s="1" t="s">
        <v>56</v>
      </c>
      <c r="AE23" s="1" t="s">
        <v>56</v>
      </c>
      <c r="AF23" s="1" t="s">
        <v>56</v>
      </c>
      <c r="AG23" s="1" t="s">
        <v>56</v>
      </c>
      <c r="AH23" s="1" t="s">
        <v>56</v>
      </c>
      <c r="AI23" s="1" t="s">
        <v>57</v>
      </c>
      <c r="AJ23" s="1" t="s">
        <v>57</v>
      </c>
      <c r="AK23" s="1" t="s">
        <v>56</v>
      </c>
      <c r="AL23" s="1" t="s">
        <v>57</v>
      </c>
      <c r="AM23" s="1" t="s">
        <v>57</v>
      </c>
      <c r="AN23" s="1" t="s">
        <v>56</v>
      </c>
      <c r="AO23" s="1" t="s">
        <v>58</v>
      </c>
      <c r="AP23" s="1" t="s">
        <v>57</v>
      </c>
      <c r="AQ23" s="1" t="s">
        <v>56</v>
      </c>
      <c r="AR23" s="1" t="s">
        <v>59</v>
      </c>
      <c r="AS23" s="1" t="s">
        <v>60</v>
      </c>
    </row>
    <row r="24" spans="1:45" x14ac:dyDescent="0.25">
      <c r="A24" s="1" t="s">
        <v>187</v>
      </c>
      <c r="B24" s="1" t="s">
        <v>188</v>
      </c>
      <c r="C24" s="1" t="s">
        <v>47</v>
      </c>
      <c r="D24" s="1" t="s">
        <v>48</v>
      </c>
      <c r="E24" s="1" t="s">
        <v>49</v>
      </c>
      <c r="F24" s="1" t="s">
        <v>49</v>
      </c>
      <c r="G24" s="1" t="s">
        <v>50</v>
      </c>
      <c r="H24" s="1" t="s">
        <v>51</v>
      </c>
      <c r="I24" s="1" t="s">
        <v>189</v>
      </c>
      <c r="J24" s="1" t="s">
        <v>190</v>
      </c>
      <c r="K24" s="1" t="s">
        <v>191</v>
      </c>
      <c r="L24" s="1" t="s">
        <v>55</v>
      </c>
      <c r="M24" s="1" t="s">
        <v>55</v>
      </c>
      <c r="N24" s="1" t="s">
        <v>55</v>
      </c>
      <c r="O24" s="1" t="s">
        <v>55</v>
      </c>
      <c r="P24" s="1" t="s">
        <v>55</v>
      </c>
      <c r="Q24" s="1" t="s">
        <v>55</v>
      </c>
      <c r="R24" s="1" t="s">
        <v>55</v>
      </c>
      <c r="S24" s="1" t="s">
        <v>55</v>
      </c>
      <c r="T24" s="1" t="s">
        <v>55</v>
      </c>
      <c r="U24" s="1" t="s">
        <v>55</v>
      </c>
      <c r="V24" s="1" t="s">
        <v>55</v>
      </c>
      <c r="W24" s="1" t="s">
        <v>55</v>
      </c>
      <c r="X24" s="1" t="s">
        <v>55</v>
      </c>
      <c r="Y24" s="1" t="s">
        <v>50</v>
      </c>
      <c r="Z24" t="str">
        <f>_xll.BDP($B24,"CUST_TRR_RETURN_HOLDING_PER","CUST_TRR_START_DT","20260401","CUST_TRR_END_DT","20260430","CUST_TRR_CRNCY","USD")</f>
        <v>#N/A N/A</v>
      </c>
      <c r="AA24" t="str">
        <f>_xll.BDP($B24,"CUST_TRR_RETURN_HOLDING_PER","CUST_TRR_START_DT","20260501","CUST_TRR_END_DT","20260531","CUST_TRR_CRNCY","USD")</f>
        <v>#N/A N/A</v>
      </c>
      <c r="AB24" t="str">
        <f>_xll.BDP($B24,"CUST_TRR_RETURN_HOLDING_PER","CUST_TRR_START_DT","20260601","CUST_TRR_END_DT","20260630","CUST_TRR_CRNCY","USD")</f>
        <v>#N/A N/A</v>
      </c>
      <c r="AC24" s="1" t="s">
        <v>56</v>
      </c>
      <c r="AD24" s="1" t="s">
        <v>56</v>
      </c>
      <c r="AE24" s="1" t="s">
        <v>56</v>
      </c>
      <c r="AF24" s="1" t="s">
        <v>56</v>
      </c>
      <c r="AG24" s="1" t="s">
        <v>56</v>
      </c>
      <c r="AH24" s="1" t="s">
        <v>56</v>
      </c>
      <c r="AI24" s="1" t="s">
        <v>57</v>
      </c>
      <c r="AJ24" s="1" t="s">
        <v>57</v>
      </c>
      <c r="AK24" s="1" t="s">
        <v>56</v>
      </c>
      <c r="AL24" s="1" t="s">
        <v>57</v>
      </c>
      <c r="AM24" s="1" t="s">
        <v>57</v>
      </c>
      <c r="AN24" s="1" t="s">
        <v>56</v>
      </c>
      <c r="AO24" s="1" t="s">
        <v>169</v>
      </c>
      <c r="AP24" s="1" t="s">
        <v>57</v>
      </c>
      <c r="AQ24" s="1" t="s">
        <v>56</v>
      </c>
      <c r="AR24" s="1" t="s">
        <v>59</v>
      </c>
      <c r="AS24" s="1" t="s">
        <v>60</v>
      </c>
    </row>
    <row r="25" spans="1:45" x14ac:dyDescent="0.25">
      <c r="A25" s="1" t="s">
        <v>192</v>
      </c>
      <c r="B25" s="1" t="s">
        <v>193</v>
      </c>
      <c r="C25" s="1" t="s">
        <v>47</v>
      </c>
      <c r="D25" s="1" t="s">
        <v>48</v>
      </c>
      <c r="E25" s="1" t="s">
        <v>49</v>
      </c>
      <c r="F25" s="1" t="s">
        <v>49</v>
      </c>
      <c r="G25" s="1" t="s">
        <v>50</v>
      </c>
      <c r="H25" s="1" t="s">
        <v>51</v>
      </c>
      <c r="I25" s="1" t="s">
        <v>194</v>
      </c>
      <c r="J25" s="1" t="s">
        <v>195</v>
      </c>
      <c r="K25" s="1" t="s">
        <v>196</v>
      </c>
      <c r="L25" s="1" t="s">
        <v>55</v>
      </c>
      <c r="M25" s="1" t="s">
        <v>55</v>
      </c>
      <c r="N25" s="1" t="s">
        <v>55</v>
      </c>
      <c r="O25" s="1" t="s">
        <v>55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55</v>
      </c>
      <c r="V25" s="1" t="s">
        <v>55</v>
      </c>
      <c r="W25" s="1" t="s">
        <v>55</v>
      </c>
      <c r="X25" s="1" t="s">
        <v>55</v>
      </c>
      <c r="Y25" s="1" t="s">
        <v>50</v>
      </c>
      <c r="Z25" t="str">
        <f>_xll.BDP($B25,"CUST_TRR_RETURN_HOLDING_PER","CUST_TRR_START_DT","20260401","CUST_TRR_END_DT","20260430","CUST_TRR_CRNCY","USD")</f>
        <v>#N/A N/A</v>
      </c>
      <c r="AA25">
        <f>_xll.BDP($B25,"CUST_TRR_RETURN_HOLDING_PER","CUST_TRR_START_DT","20260501","CUST_TRR_END_DT","20260531","CUST_TRR_CRNCY","USD")</f>
        <v>1.269536</v>
      </c>
      <c r="AB25" t="str">
        <f>_xll.BDP($B25,"CUST_TRR_RETURN_HOLDING_PER","CUST_TRR_START_DT","20260601","CUST_TRR_END_DT","20260630","CUST_TRR_CRNCY","USD")</f>
        <v>#N/A N/A</v>
      </c>
      <c r="AC25" s="1" t="s">
        <v>56</v>
      </c>
      <c r="AD25" s="1" t="s">
        <v>56</v>
      </c>
      <c r="AE25" s="1" t="s">
        <v>56</v>
      </c>
      <c r="AF25" s="1" t="s">
        <v>56</v>
      </c>
      <c r="AG25" s="1" t="s">
        <v>56</v>
      </c>
      <c r="AH25" s="1" t="s">
        <v>56</v>
      </c>
      <c r="AI25" s="1" t="s">
        <v>57</v>
      </c>
      <c r="AJ25" s="1" t="s">
        <v>57</v>
      </c>
      <c r="AK25" s="1" t="s">
        <v>56</v>
      </c>
      <c r="AL25" s="1" t="s">
        <v>197</v>
      </c>
      <c r="AM25" s="1" t="s">
        <v>57</v>
      </c>
      <c r="AN25" s="1" t="s">
        <v>56</v>
      </c>
      <c r="AO25" s="1" t="s">
        <v>198</v>
      </c>
      <c r="AP25" s="1" t="s">
        <v>199</v>
      </c>
      <c r="AQ25" s="1" t="s">
        <v>56</v>
      </c>
      <c r="AR25" s="1" t="s">
        <v>56</v>
      </c>
      <c r="AS25" s="1" t="s">
        <v>56</v>
      </c>
    </row>
    <row r="26" spans="1:45" x14ac:dyDescent="0.25">
      <c r="A26" s="1" t="s">
        <v>200</v>
      </c>
      <c r="B26" s="1" t="s">
        <v>201</v>
      </c>
      <c r="C26" s="1" t="s">
        <v>47</v>
      </c>
      <c r="D26" s="1" t="s">
        <v>48</v>
      </c>
      <c r="E26" s="1" t="s">
        <v>49</v>
      </c>
      <c r="F26" s="1" t="s">
        <v>49</v>
      </c>
      <c r="G26" s="1" t="s">
        <v>50</v>
      </c>
      <c r="H26" s="1" t="s">
        <v>51</v>
      </c>
      <c r="I26" s="1" t="s">
        <v>202</v>
      </c>
      <c r="J26" s="1" t="s">
        <v>57</v>
      </c>
      <c r="K26" s="1" t="s">
        <v>202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55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55</v>
      </c>
      <c r="V26" s="1" t="s">
        <v>55</v>
      </c>
      <c r="W26" s="1" t="s">
        <v>55</v>
      </c>
      <c r="X26" s="1" t="s">
        <v>55</v>
      </c>
      <c r="Y26" s="1" t="s">
        <v>50</v>
      </c>
      <c r="Z26" t="str">
        <f>_xll.BDP($B26,"CUST_TRR_RETURN_HOLDING_PER","CUST_TRR_START_DT","20260401","CUST_TRR_END_DT","20260430","CUST_TRR_CRNCY","USD")</f>
        <v>#N/A N/A</v>
      </c>
      <c r="AA26" t="str">
        <f>_xll.BDP($B26,"CUST_TRR_RETURN_HOLDING_PER","CUST_TRR_START_DT","20260501","CUST_TRR_END_DT","20260531","CUST_TRR_CRNCY","USD")</f>
        <v>#N/A N/A</v>
      </c>
      <c r="AB26" t="str">
        <f>_xll.BDP($B26,"CUST_TRR_RETURN_HOLDING_PER","CUST_TRR_START_DT","20260601","CUST_TRR_END_DT","20260630","CUST_TRR_CRNCY","USD")</f>
        <v>#N/A N/A</v>
      </c>
      <c r="AC26" s="1" t="s">
        <v>56</v>
      </c>
      <c r="AD26" s="1" t="s">
        <v>56</v>
      </c>
      <c r="AE26" s="1" t="s">
        <v>56</v>
      </c>
      <c r="AF26" s="1" t="s">
        <v>56</v>
      </c>
      <c r="AG26" s="1" t="s">
        <v>56</v>
      </c>
      <c r="AH26" s="1" t="s">
        <v>56</v>
      </c>
      <c r="AI26" s="1" t="s">
        <v>57</v>
      </c>
      <c r="AJ26" s="1" t="s">
        <v>57</v>
      </c>
      <c r="AK26" s="1" t="s">
        <v>56</v>
      </c>
      <c r="AL26" s="1" t="s">
        <v>57</v>
      </c>
      <c r="AM26" s="1" t="s">
        <v>57</v>
      </c>
      <c r="AN26" s="1" t="s">
        <v>56</v>
      </c>
      <c r="AO26" s="1" t="s">
        <v>203</v>
      </c>
      <c r="AP26" s="1" t="s">
        <v>57</v>
      </c>
      <c r="AQ26" s="1" t="s">
        <v>56</v>
      </c>
      <c r="AR26" s="1" t="s">
        <v>204</v>
      </c>
      <c r="AS26" s="1" t="s">
        <v>205</v>
      </c>
    </row>
    <row r="27" spans="1:45" x14ac:dyDescent="0.25">
      <c r="A27" s="1" t="s">
        <v>206</v>
      </c>
      <c r="B27" s="1" t="s">
        <v>207</v>
      </c>
      <c r="C27" s="1" t="s">
        <v>47</v>
      </c>
      <c r="D27" s="1" t="s">
        <v>48</v>
      </c>
      <c r="E27" s="1" t="s">
        <v>49</v>
      </c>
      <c r="F27" s="1" t="s">
        <v>49</v>
      </c>
      <c r="G27" s="1" t="s">
        <v>50</v>
      </c>
      <c r="H27" s="1" t="s">
        <v>51</v>
      </c>
      <c r="I27" s="1" t="s">
        <v>208</v>
      </c>
      <c r="J27" s="1" t="s">
        <v>57</v>
      </c>
      <c r="K27" s="1" t="s">
        <v>208</v>
      </c>
      <c r="L27" s="1" t="s">
        <v>55</v>
      </c>
      <c r="M27" s="1" t="s">
        <v>55</v>
      </c>
      <c r="N27" s="1" t="s">
        <v>55</v>
      </c>
      <c r="O27" s="1" t="s">
        <v>55</v>
      </c>
      <c r="P27" s="1" t="s">
        <v>55</v>
      </c>
      <c r="Q27" s="1" t="s">
        <v>55</v>
      </c>
      <c r="R27" s="1" t="s">
        <v>55</v>
      </c>
      <c r="S27" s="1" t="s">
        <v>55</v>
      </c>
      <c r="T27" s="1" t="s">
        <v>55</v>
      </c>
      <c r="U27" s="1" t="s">
        <v>55</v>
      </c>
      <c r="V27" s="1" t="s">
        <v>55</v>
      </c>
      <c r="W27" s="1" t="s">
        <v>55</v>
      </c>
      <c r="X27" s="1" t="s">
        <v>55</v>
      </c>
      <c r="Y27" s="1" t="s">
        <v>50</v>
      </c>
      <c r="Z27" t="str">
        <f>_xll.BDP($B27,"CUST_TRR_RETURN_HOLDING_PER","CUST_TRR_START_DT","20260401","CUST_TRR_END_DT","20260430","CUST_TRR_CRNCY","USD")</f>
        <v>#N/A N/A</v>
      </c>
      <c r="AA27">
        <f>_xll.BDP($B27,"CUST_TRR_RETURN_HOLDING_PER","CUST_TRR_START_DT","20260501","CUST_TRR_END_DT","20260531","CUST_TRR_CRNCY","USD")</f>
        <v>27.94623</v>
      </c>
      <c r="AB27" t="str">
        <f>_xll.BDP($B27,"CUST_TRR_RETURN_HOLDING_PER","CUST_TRR_START_DT","20260601","CUST_TRR_END_DT","20260630","CUST_TRR_CRNCY","USD")</f>
        <v>#N/A N/A</v>
      </c>
      <c r="AC27" s="1" t="s">
        <v>56</v>
      </c>
      <c r="AD27" s="1" t="s">
        <v>56</v>
      </c>
      <c r="AE27" s="1" t="s">
        <v>56</v>
      </c>
      <c r="AF27" s="1" t="s">
        <v>56</v>
      </c>
      <c r="AG27" s="1" t="s">
        <v>56</v>
      </c>
      <c r="AH27" s="1" t="s">
        <v>56</v>
      </c>
      <c r="AI27" s="1" t="s">
        <v>57</v>
      </c>
      <c r="AJ27" s="1" t="s">
        <v>57</v>
      </c>
      <c r="AK27" s="1" t="s">
        <v>56</v>
      </c>
      <c r="AL27" s="1" t="s">
        <v>209</v>
      </c>
      <c r="AM27" s="1" t="s">
        <v>57</v>
      </c>
      <c r="AN27" s="1" t="s">
        <v>56</v>
      </c>
      <c r="AO27" s="1" t="s">
        <v>57</v>
      </c>
      <c r="AP27" s="1" t="s">
        <v>57</v>
      </c>
      <c r="AQ27" s="1" t="s">
        <v>56</v>
      </c>
      <c r="AR27" s="1" t="s">
        <v>59</v>
      </c>
      <c r="AS27" s="1" t="s">
        <v>60</v>
      </c>
    </row>
    <row r="28" spans="1:45" x14ac:dyDescent="0.25">
      <c r="A28" s="1" t="s">
        <v>210</v>
      </c>
      <c r="B28" s="1" t="s">
        <v>211</v>
      </c>
      <c r="C28" s="1" t="s">
        <v>47</v>
      </c>
      <c r="D28" s="1" t="s">
        <v>48</v>
      </c>
      <c r="E28" s="1" t="s">
        <v>49</v>
      </c>
      <c r="F28" s="1" t="s">
        <v>49</v>
      </c>
      <c r="G28" s="1" t="s">
        <v>50</v>
      </c>
      <c r="H28" s="1" t="s">
        <v>51</v>
      </c>
      <c r="I28" s="1" t="s">
        <v>212</v>
      </c>
      <c r="J28" s="1" t="s">
        <v>57</v>
      </c>
      <c r="K28" s="1" t="s">
        <v>212</v>
      </c>
      <c r="L28" s="1" t="s">
        <v>55</v>
      </c>
      <c r="M28" s="1" t="s">
        <v>55</v>
      </c>
      <c r="N28" s="1" t="s">
        <v>55</v>
      </c>
      <c r="O28" s="1" t="s">
        <v>55</v>
      </c>
      <c r="P28" s="1" t="s">
        <v>55</v>
      </c>
      <c r="Q28" s="1" t="s">
        <v>55</v>
      </c>
      <c r="R28" s="1" t="s">
        <v>55</v>
      </c>
      <c r="S28" s="1" t="s">
        <v>55</v>
      </c>
      <c r="T28" s="1" t="s">
        <v>55</v>
      </c>
      <c r="U28" s="1" t="s">
        <v>55</v>
      </c>
      <c r="V28" s="1" t="s">
        <v>55</v>
      </c>
      <c r="W28" s="1" t="s">
        <v>55</v>
      </c>
      <c r="X28" s="1" t="s">
        <v>55</v>
      </c>
      <c r="Y28" s="1" t="s">
        <v>50</v>
      </c>
      <c r="Z28" t="str">
        <f>_xll.BDP($B28,"CUST_TRR_RETURN_HOLDING_PER","CUST_TRR_START_DT","20260401","CUST_TRR_END_DT","20260430","CUST_TRR_CRNCY","USD")</f>
        <v>#N/A N/A</v>
      </c>
      <c r="AA28">
        <f>_xll.BDP($B28,"CUST_TRR_RETURN_HOLDING_PER","CUST_TRR_START_DT","20260501","CUST_TRR_END_DT","20260531","CUST_TRR_CRNCY","USD")</f>
        <v>1.810934</v>
      </c>
      <c r="AB28" t="str">
        <f>_xll.BDP($B28,"CUST_TRR_RETURN_HOLDING_PER","CUST_TRR_START_DT","20260601","CUST_TRR_END_DT","20260630","CUST_TRR_CRNCY","USD")</f>
        <v>#N/A N/A</v>
      </c>
      <c r="AC28" s="1" t="s">
        <v>56</v>
      </c>
      <c r="AD28" s="1" t="s">
        <v>56</v>
      </c>
      <c r="AE28" s="1" t="s">
        <v>56</v>
      </c>
      <c r="AF28" s="1" t="s">
        <v>56</v>
      </c>
      <c r="AG28" s="1" t="s">
        <v>56</v>
      </c>
      <c r="AH28" s="1" t="s">
        <v>56</v>
      </c>
      <c r="AI28" s="1" t="s">
        <v>57</v>
      </c>
      <c r="AJ28" s="1" t="s">
        <v>57</v>
      </c>
      <c r="AK28" s="1" t="s">
        <v>56</v>
      </c>
      <c r="AL28" s="1" t="s">
        <v>213</v>
      </c>
      <c r="AM28" s="1" t="s">
        <v>57</v>
      </c>
      <c r="AN28" s="1" t="s">
        <v>56</v>
      </c>
      <c r="AO28" s="1" t="s">
        <v>57</v>
      </c>
      <c r="AP28" s="1" t="s">
        <v>57</v>
      </c>
      <c r="AQ28" s="1" t="s">
        <v>56</v>
      </c>
      <c r="AR28" s="1" t="s">
        <v>56</v>
      </c>
      <c r="AS28" s="1" t="s">
        <v>56</v>
      </c>
    </row>
    <row r="29" spans="1:45" x14ac:dyDescent="0.25">
      <c r="A29" s="1" t="s">
        <v>214</v>
      </c>
      <c r="B29" s="1" t="s">
        <v>215</v>
      </c>
      <c r="C29" s="1" t="s">
        <v>47</v>
      </c>
      <c r="D29" s="1" t="s">
        <v>48</v>
      </c>
      <c r="E29" s="1" t="s">
        <v>49</v>
      </c>
      <c r="F29" s="1" t="s">
        <v>49</v>
      </c>
      <c r="G29" s="1" t="s">
        <v>50</v>
      </c>
      <c r="H29" s="1" t="s">
        <v>51</v>
      </c>
      <c r="I29" s="1" t="s">
        <v>216</v>
      </c>
      <c r="J29" s="1" t="s">
        <v>217</v>
      </c>
      <c r="K29" s="1" t="s">
        <v>218</v>
      </c>
      <c r="L29" s="1" t="s">
        <v>55</v>
      </c>
      <c r="M29" s="1" t="s">
        <v>55</v>
      </c>
      <c r="N29" s="1" t="s">
        <v>55</v>
      </c>
      <c r="O29" s="1" t="s">
        <v>55</v>
      </c>
      <c r="P29" s="1" t="s">
        <v>55</v>
      </c>
      <c r="Q29" s="1" t="s">
        <v>55</v>
      </c>
      <c r="R29" s="1" t="s">
        <v>55</v>
      </c>
      <c r="S29" s="1" t="s">
        <v>55</v>
      </c>
      <c r="T29" s="1" t="s">
        <v>55</v>
      </c>
      <c r="U29" s="1" t="s">
        <v>55</v>
      </c>
      <c r="V29" s="1" t="s">
        <v>55</v>
      </c>
      <c r="W29" s="1" t="s">
        <v>55</v>
      </c>
      <c r="X29" s="1" t="s">
        <v>55</v>
      </c>
      <c r="Y29" s="1" t="s">
        <v>50</v>
      </c>
      <c r="Z29" t="str">
        <f>_xll.BDP($B29,"CUST_TRR_RETURN_HOLDING_PER","CUST_TRR_START_DT","20260401","CUST_TRR_END_DT","20260430","CUST_TRR_CRNCY","USD")</f>
        <v>#N/A N/A</v>
      </c>
      <c r="AA29" t="str">
        <f>_xll.BDP($B29,"CUST_TRR_RETURN_HOLDING_PER","CUST_TRR_START_DT","20260501","CUST_TRR_END_DT","20260531","CUST_TRR_CRNCY","USD")</f>
        <v>#N/A N/A</v>
      </c>
      <c r="AB29" t="str">
        <f>_xll.BDP($B29,"CUST_TRR_RETURN_HOLDING_PER","CUST_TRR_START_DT","20260601","CUST_TRR_END_DT","20260630","CUST_TRR_CRNCY","USD")</f>
        <v>#N/A N/A</v>
      </c>
      <c r="AC29" s="1" t="s">
        <v>56</v>
      </c>
      <c r="AD29" s="1" t="s">
        <v>56</v>
      </c>
      <c r="AE29" s="1" t="s">
        <v>56</v>
      </c>
      <c r="AF29" s="1" t="s">
        <v>56</v>
      </c>
      <c r="AG29" s="1" t="s">
        <v>56</v>
      </c>
      <c r="AH29" s="1" t="s">
        <v>56</v>
      </c>
      <c r="AI29" s="1" t="s">
        <v>57</v>
      </c>
      <c r="AJ29" s="1" t="s">
        <v>57</v>
      </c>
      <c r="AK29" s="1" t="s">
        <v>56</v>
      </c>
      <c r="AL29" s="1" t="s">
        <v>57</v>
      </c>
      <c r="AM29" s="1" t="s">
        <v>57</v>
      </c>
      <c r="AN29" s="1" t="s">
        <v>56</v>
      </c>
      <c r="AO29" s="1" t="s">
        <v>219</v>
      </c>
      <c r="AP29" s="1" t="s">
        <v>57</v>
      </c>
      <c r="AQ29" s="1" t="s">
        <v>56</v>
      </c>
      <c r="AR29" s="1" t="s">
        <v>220</v>
      </c>
      <c r="AS29" s="1" t="s">
        <v>221</v>
      </c>
    </row>
    <row r="30" spans="1:45" x14ac:dyDescent="0.25">
      <c r="A30" s="1" t="s">
        <v>222</v>
      </c>
      <c r="B30" s="1" t="s">
        <v>223</v>
      </c>
      <c r="C30" s="1" t="s">
        <v>47</v>
      </c>
      <c r="D30" s="1" t="s">
        <v>48</v>
      </c>
      <c r="E30" s="1" t="s">
        <v>49</v>
      </c>
      <c r="F30" s="1" t="s">
        <v>49</v>
      </c>
      <c r="G30" s="1" t="s">
        <v>50</v>
      </c>
      <c r="H30" s="1" t="s">
        <v>51</v>
      </c>
      <c r="I30" s="1" t="s">
        <v>224</v>
      </c>
      <c r="J30" s="1" t="s">
        <v>225</v>
      </c>
      <c r="K30" s="1" t="s">
        <v>226</v>
      </c>
      <c r="L30" s="1" t="s">
        <v>55</v>
      </c>
      <c r="M30" s="1" t="s">
        <v>55</v>
      </c>
      <c r="N30" s="1" t="s">
        <v>55</v>
      </c>
      <c r="O30" s="1" t="s">
        <v>55</v>
      </c>
      <c r="P30" s="1" t="s">
        <v>55</v>
      </c>
      <c r="Q30" s="1" t="s">
        <v>55</v>
      </c>
      <c r="R30" s="1" t="s">
        <v>55</v>
      </c>
      <c r="S30" s="1" t="s">
        <v>55</v>
      </c>
      <c r="T30" s="1" t="s">
        <v>55</v>
      </c>
      <c r="U30" s="1" t="s">
        <v>55</v>
      </c>
      <c r="V30" s="1" t="s">
        <v>55</v>
      </c>
      <c r="W30" s="1" t="s">
        <v>55</v>
      </c>
      <c r="X30" s="1" t="s">
        <v>55</v>
      </c>
      <c r="Y30" s="1" t="s">
        <v>50</v>
      </c>
      <c r="Z30" t="str">
        <f>_xll.BDP($B30,"CUST_TRR_RETURN_HOLDING_PER","CUST_TRR_START_DT","20260401","CUST_TRR_END_DT","20260430","CUST_TRR_CRNCY","USD")</f>
        <v>#N/A N/A</v>
      </c>
      <c r="AA30">
        <f>_xll.BDP($B30,"CUST_TRR_RETURN_HOLDING_PER","CUST_TRR_START_DT","20260501","CUST_TRR_END_DT","20260531","CUST_TRR_CRNCY","USD")</f>
        <v>-1.4445460000000001</v>
      </c>
      <c r="AB30" t="str">
        <f>_xll.BDP($B30,"CUST_TRR_RETURN_HOLDING_PER","CUST_TRR_START_DT","20260601","CUST_TRR_END_DT","20260630","CUST_TRR_CRNCY","USD")</f>
        <v>#N/A N/A</v>
      </c>
      <c r="AC30" s="1" t="s">
        <v>56</v>
      </c>
      <c r="AD30" s="1" t="s">
        <v>56</v>
      </c>
      <c r="AE30" s="1" t="s">
        <v>56</v>
      </c>
      <c r="AF30" s="1" t="s">
        <v>56</v>
      </c>
      <c r="AG30" s="1" t="s">
        <v>56</v>
      </c>
      <c r="AH30" s="1" t="s">
        <v>56</v>
      </c>
      <c r="AI30" s="1" t="s">
        <v>57</v>
      </c>
      <c r="AJ30" s="1" t="s">
        <v>57</v>
      </c>
      <c r="AK30" s="1" t="s">
        <v>56</v>
      </c>
      <c r="AL30" s="1" t="s">
        <v>227</v>
      </c>
      <c r="AM30" s="1" t="s">
        <v>228</v>
      </c>
      <c r="AN30" s="1" t="s">
        <v>56</v>
      </c>
      <c r="AO30" s="1" t="s">
        <v>229</v>
      </c>
      <c r="AP30" s="1" t="s">
        <v>230</v>
      </c>
      <c r="AQ30" s="1" t="s">
        <v>56</v>
      </c>
      <c r="AR30" s="1" t="s">
        <v>220</v>
      </c>
      <c r="AS30" s="1" t="s">
        <v>221</v>
      </c>
    </row>
    <row r="31" spans="1:45" x14ac:dyDescent="0.25">
      <c r="A31" s="1" t="s">
        <v>231</v>
      </c>
      <c r="B31" s="1" t="s">
        <v>232</v>
      </c>
      <c r="C31" s="1" t="s">
        <v>47</v>
      </c>
      <c r="D31" s="1" t="s">
        <v>48</v>
      </c>
      <c r="E31" s="1" t="s">
        <v>49</v>
      </c>
      <c r="F31" s="1" t="s">
        <v>49</v>
      </c>
      <c r="G31" s="1" t="s">
        <v>50</v>
      </c>
      <c r="H31" s="1" t="s">
        <v>51</v>
      </c>
      <c r="I31" s="1" t="s">
        <v>233</v>
      </c>
      <c r="J31" s="1" t="s">
        <v>234</v>
      </c>
      <c r="K31" s="1" t="s">
        <v>235</v>
      </c>
      <c r="L31" s="1" t="s">
        <v>55</v>
      </c>
      <c r="M31" s="1" t="s">
        <v>55</v>
      </c>
      <c r="N31" s="1" t="s">
        <v>55</v>
      </c>
      <c r="O31" s="1" t="s">
        <v>55</v>
      </c>
      <c r="P31" s="1" t="s">
        <v>55</v>
      </c>
      <c r="Q31" s="1" t="s">
        <v>55</v>
      </c>
      <c r="R31" s="1" t="s">
        <v>55</v>
      </c>
      <c r="S31" s="1" t="s">
        <v>55</v>
      </c>
      <c r="T31" s="1" t="s">
        <v>55</v>
      </c>
      <c r="U31" s="1" t="s">
        <v>55</v>
      </c>
      <c r="V31" s="1" t="s">
        <v>55</v>
      </c>
      <c r="W31" s="1" t="s">
        <v>55</v>
      </c>
      <c r="X31" s="1" t="s">
        <v>55</v>
      </c>
      <c r="Y31" s="1" t="s">
        <v>50</v>
      </c>
      <c r="Z31" t="str">
        <f>_xll.BDP($B31,"CUST_TRR_RETURN_HOLDING_PER","CUST_TRR_START_DT","20260401","CUST_TRR_END_DT","20260430","CUST_TRR_CRNCY","USD")</f>
        <v>#N/A N/A</v>
      </c>
      <c r="AA31" t="str">
        <f>_xll.BDP($B31,"CUST_TRR_RETURN_HOLDING_PER","CUST_TRR_START_DT","20260501","CUST_TRR_END_DT","20260531","CUST_TRR_CRNCY","USD")</f>
        <v>#N/A N/A</v>
      </c>
      <c r="AB31" t="str">
        <f>_xll.BDP($B31,"CUST_TRR_RETURN_HOLDING_PER","CUST_TRR_START_DT","20260601","CUST_TRR_END_DT","20260630","CUST_TRR_CRNCY","USD")</f>
        <v>#N/A N/A</v>
      </c>
      <c r="AC31" s="1" t="s">
        <v>56</v>
      </c>
      <c r="AD31" s="1" t="s">
        <v>56</v>
      </c>
      <c r="AE31" s="1" t="s">
        <v>56</v>
      </c>
      <c r="AF31" s="1" t="s">
        <v>56</v>
      </c>
      <c r="AG31" s="1" t="s">
        <v>56</v>
      </c>
      <c r="AH31" s="1" t="s">
        <v>56</v>
      </c>
      <c r="AI31" s="1" t="s">
        <v>57</v>
      </c>
      <c r="AJ31" s="1" t="s">
        <v>57</v>
      </c>
      <c r="AK31" s="1" t="s">
        <v>56</v>
      </c>
      <c r="AL31" s="1" t="s">
        <v>57</v>
      </c>
      <c r="AM31" s="1" t="s">
        <v>57</v>
      </c>
      <c r="AN31" s="1" t="s">
        <v>56</v>
      </c>
      <c r="AO31" s="1" t="s">
        <v>236</v>
      </c>
      <c r="AP31" s="1" t="s">
        <v>57</v>
      </c>
      <c r="AQ31" s="1" t="s">
        <v>56</v>
      </c>
      <c r="AR31" s="1" t="s">
        <v>89</v>
      </c>
      <c r="AS31" s="1" t="s">
        <v>90</v>
      </c>
    </row>
    <row r="32" spans="1:45" x14ac:dyDescent="0.25">
      <c r="A32" s="1" t="s">
        <v>237</v>
      </c>
      <c r="B32" s="1" t="s">
        <v>238</v>
      </c>
      <c r="C32" s="1" t="s">
        <v>47</v>
      </c>
      <c r="D32" s="1" t="s">
        <v>48</v>
      </c>
      <c r="E32" s="1" t="s">
        <v>49</v>
      </c>
      <c r="F32" s="1" t="s">
        <v>49</v>
      </c>
      <c r="G32" s="1" t="s">
        <v>50</v>
      </c>
      <c r="H32" s="1" t="s">
        <v>51</v>
      </c>
      <c r="I32" s="1" t="s">
        <v>239</v>
      </c>
      <c r="J32" s="1" t="s">
        <v>57</v>
      </c>
      <c r="K32" s="1" t="s">
        <v>239</v>
      </c>
      <c r="L32" s="1" t="s">
        <v>55</v>
      </c>
      <c r="M32" s="1" t="s">
        <v>55</v>
      </c>
      <c r="N32" s="1" t="s">
        <v>55</v>
      </c>
      <c r="O32" s="1" t="s">
        <v>55</v>
      </c>
      <c r="P32" s="1" t="s">
        <v>55</v>
      </c>
      <c r="Q32" s="1" t="s">
        <v>55</v>
      </c>
      <c r="R32" s="1" t="s">
        <v>55</v>
      </c>
      <c r="S32" s="1" t="s">
        <v>55</v>
      </c>
      <c r="T32" s="1" t="s">
        <v>55</v>
      </c>
      <c r="U32" s="1" t="s">
        <v>55</v>
      </c>
      <c r="V32" s="1" t="s">
        <v>55</v>
      </c>
      <c r="W32" s="1" t="s">
        <v>55</v>
      </c>
      <c r="X32" s="1" t="s">
        <v>55</v>
      </c>
      <c r="Y32" s="1" t="s">
        <v>50</v>
      </c>
      <c r="Z32" t="str">
        <f>_xll.BDP($B32,"CUST_TRR_RETURN_HOLDING_PER","CUST_TRR_START_DT","20260401","CUST_TRR_END_DT","20260430","CUST_TRR_CRNCY","USD")</f>
        <v>#N/A N/A</v>
      </c>
      <c r="AA32">
        <f>_xll.BDP($B32,"CUST_TRR_RETURN_HOLDING_PER","CUST_TRR_START_DT","20260501","CUST_TRR_END_DT","20260531","CUST_TRR_CRNCY","USD")</f>
        <v>2.001525</v>
      </c>
      <c r="AB32" t="str">
        <f>_xll.BDP($B32,"CUST_TRR_RETURN_HOLDING_PER","CUST_TRR_START_DT","20260601","CUST_TRR_END_DT","20260630","CUST_TRR_CRNCY","USD")</f>
        <v>#N/A N/A</v>
      </c>
      <c r="AC32" s="1" t="s">
        <v>56</v>
      </c>
      <c r="AD32" s="1" t="s">
        <v>56</v>
      </c>
      <c r="AE32" s="1" t="s">
        <v>56</v>
      </c>
      <c r="AF32" s="1" t="s">
        <v>56</v>
      </c>
      <c r="AG32" s="1" t="s">
        <v>56</v>
      </c>
      <c r="AH32" s="1" t="s">
        <v>56</v>
      </c>
      <c r="AI32" s="1" t="s">
        <v>57</v>
      </c>
      <c r="AJ32" s="1" t="s">
        <v>57</v>
      </c>
      <c r="AK32" s="1" t="s">
        <v>56</v>
      </c>
      <c r="AL32" s="1" t="s">
        <v>240</v>
      </c>
      <c r="AM32" s="1" t="s">
        <v>241</v>
      </c>
      <c r="AN32" s="1" t="s">
        <v>56</v>
      </c>
      <c r="AO32" s="1" t="s">
        <v>242</v>
      </c>
      <c r="AP32" s="1" t="s">
        <v>243</v>
      </c>
      <c r="AQ32" s="1" t="s">
        <v>56</v>
      </c>
      <c r="AR32" s="1" t="s">
        <v>59</v>
      </c>
      <c r="AS32" s="1" t="s">
        <v>60</v>
      </c>
    </row>
    <row r="33" spans="1:45" x14ac:dyDescent="0.25">
      <c r="A33" s="1" t="s">
        <v>244</v>
      </c>
      <c r="B33" s="1" t="s">
        <v>245</v>
      </c>
      <c r="C33" s="1" t="s">
        <v>47</v>
      </c>
      <c r="D33" s="1" t="s">
        <v>48</v>
      </c>
      <c r="E33" s="1" t="s">
        <v>49</v>
      </c>
      <c r="F33" s="1" t="s">
        <v>49</v>
      </c>
      <c r="G33" s="1" t="s">
        <v>50</v>
      </c>
      <c r="H33" s="1" t="s">
        <v>51</v>
      </c>
      <c r="I33" s="1" t="s">
        <v>246</v>
      </c>
      <c r="J33" s="1" t="s">
        <v>247</v>
      </c>
      <c r="K33" s="1" t="s">
        <v>248</v>
      </c>
      <c r="L33" s="1" t="s">
        <v>55</v>
      </c>
      <c r="M33" s="1" t="s">
        <v>55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  <c r="S33" s="1" t="s">
        <v>55</v>
      </c>
      <c r="T33" s="1" t="s">
        <v>55</v>
      </c>
      <c r="U33" s="1" t="s">
        <v>55</v>
      </c>
      <c r="V33" s="1" t="s">
        <v>55</v>
      </c>
      <c r="W33" s="1" t="s">
        <v>55</v>
      </c>
      <c r="X33" s="1" t="s">
        <v>55</v>
      </c>
      <c r="Y33" s="1" t="s">
        <v>50</v>
      </c>
      <c r="Z33" t="str">
        <f>_xll.BDP($B33,"CUST_TRR_RETURN_HOLDING_PER","CUST_TRR_START_DT","20260401","CUST_TRR_END_DT","20260430","CUST_TRR_CRNCY","USD")</f>
        <v>#N/A N/A</v>
      </c>
      <c r="AA33" t="str">
        <f>_xll.BDP($B33,"CUST_TRR_RETURN_HOLDING_PER","CUST_TRR_START_DT","20260501","CUST_TRR_END_DT","20260531","CUST_TRR_CRNCY","USD")</f>
        <v>#N/A N/A</v>
      </c>
      <c r="AB33" t="str">
        <f>_xll.BDP($B33,"CUST_TRR_RETURN_HOLDING_PER","CUST_TRR_START_DT","20260601","CUST_TRR_END_DT","20260630","CUST_TRR_CRNCY","USD")</f>
        <v>#N/A N/A</v>
      </c>
      <c r="AC33" s="1" t="s">
        <v>56</v>
      </c>
      <c r="AD33" s="1" t="s">
        <v>56</v>
      </c>
      <c r="AE33" s="1" t="s">
        <v>56</v>
      </c>
      <c r="AF33" s="1" t="s">
        <v>56</v>
      </c>
      <c r="AG33" s="1" t="s">
        <v>56</v>
      </c>
      <c r="AH33" s="1" t="s">
        <v>56</v>
      </c>
      <c r="AI33" s="1" t="s">
        <v>57</v>
      </c>
      <c r="AJ33" s="1" t="s">
        <v>57</v>
      </c>
      <c r="AK33" s="1" t="s">
        <v>56</v>
      </c>
      <c r="AL33" s="1" t="s">
        <v>57</v>
      </c>
      <c r="AM33" s="1" t="s">
        <v>57</v>
      </c>
      <c r="AN33" s="1" t="s">
        <v>56</v>
      </c>
      <c r="AO33" s="1" t="s">
        <v>249</v>
      </c>
      <c r="AP33" s="1" t="s">
        <v>57</v>
      </c>
      <c r="AQ33" s="1" t="s">
        <v>56</v>
      </c>
      <c r="AR33" s="1" t="s">
        <v>59</v>
      </c>
      <c r="AS33" s="1" t="s">
        <v>60</v>
      </c>
    </row>
    <row r="34" spans="1:45" x14ac:dyDescent="0.25">
      <c r="A34" s="1" t="s">
        <v>250</v>
      </c>
      <c r="B34" s="1" t="s">
        <v>251</v>
      </c>
      <c r="C34" s="1" t="s">
        <v>47</v>
      </c>
      <c r="D34" s="1" t="s">
        <v>48</v>
      </c>
      <c r="E34" s="1" t="s">
        <v>49</v>
      </c>
      <c r="F34" s="1" t="s">
        <v>49</v>
      </c>
      <c r="G34" s="1" t="s">
        <v>50</v>
      </c>
      <c r="H34" s="1" t="s">
        <v>51</v>
      </c>
      <c r="I34" s="1" t="s">
        <v>252</v>
      </c>
      <c r="J34" s="1" t="s">
        <v>57</v>
      </c>
      <c r="K34" s="1" t="s">
        <v>252</v>
      </c>
      <c r="L34" s="1" t="s">
        <v>55</v>
      </c>
      <c r="M34" s="1" t="s">
        <v>55</v>
      </c>
      <c r="N34" s="1" t="s">
        <v>55</v>
      </c>
      <c r="O34" s="1" t="s">
        <v>55</v>
      </c>
      <c r="P34" s="1" t="s">
        <v>55</v>
      </c>
      <c r="Q34" s="1" t="s">
        <v>55</v>
      </c>
      <c r="R34" s="1" t="s">
        <v>55</v>
      </c>
      <c r="S34" s="1" t="s">
        <v>55</v>
      </c>
      <c r="T34" s="1" t="s">
        <v>55</v>
      </c>
      <c r="U34" s="1" t="s">
        <v>55</v>
      </c>
      <c r="V34" s="1" t="s">
        <v>55</v>
      </c>
      <c r="W34" s="1" t="s">
        <v>55</v>
      </c>
      <c r="X34" s="1" t="s">
        <v>55</v>
      </c>
      <c r="Y34" s="1" t="s">
        <v>50</v>
      </c>
      <c r="Z34" t="str">
        <f>_xll.BDP($B34,"CUST_TRR_RETURN_HOLDING_PER","CUST_TRR_START_DT","20260401","CUST_TRR_END_DT","20260430","CUST_TRR_CRNCY","USD")</f>
        <v>#N/A N/A</v>
      </c>
      <c r="AA34">
        <f>_xll.BDP($B34,"CUST_TRR_RETURN_HOLDING_PER","CUST_TRR_START_DT","20260501","CUST_TRR_END_DT","20260531","CUST_TRR_CRNCY","USD")</f>
        <v>11.086819999999999</v>
      </c>
      <c r="AB34" t="str">
        <f>_xll.BDP($B34,"CUST_TRR_RETURN_HOLDING_PER","CUST_TRR_START_DT","20260601","CUST_TRR_END_DT","20260630","CUST_TRR_CRNCY","USD")</f>
        <v>#N/A N/A</v>
      </c>
      <c r="AC34" s="1" t="s">
        <v>56</v>
      </c>
      <c r="AD34" s="1" t="s">
        <v>56</v>
      </c>
      <c r="AE34" s="1" t="s">
        <v>56</v>
      </c>
      <c r="AF34" s="1" t="s">
        <v>56</v>
      </c>
      <c r="AG34" s="1" t="s">
        <v>56</v>
      </c>
      <c r="AH34" s="1" t="s">
        <v>56</v>
      </c>
      <c r="AI34" s="1" t="s">
        <v>57</v>
      </c>
      <c r="AJ34" s="1" t="s">
        <v>57</v>
      </c>
      <c r="AK34" s="1" t="s">
        <v>56</v>
      </c>
      <c r="AL34" s="1" t="s">
        <v>253</v>
      </c>
      <c r="AM34" s="1" t="s">
        <v>57</v>
      </c>
      <c r="AN34" s="1" t="s">
        <v>56</v>
      </c>
      <c r="AO34" s="1" t="s">
        <v>57</v>
      </c>
      <c r="AP34" s="1" t="s">
        <v>57</v>
      </c>
      <c r="AQ34" s="1" t="s">
        <v>56</v>
      </c>
      <c r="AR34" s="1" t="s">
        <v>59</v>
      </c>
      <c r="AS34" s="1" t="s">
        <v>60</v>
      </c>
    </row>
    <row r="35" spans="1:45" x14ac:dyDescent="0.25">
      <c r="A35" s="1" t="s">
        <v>254</v>
      </c>
      <c r="B35" s="1" t="s">
        <v>255</v>
      </c>
      <c r="C35" s="1" t="s">
        <v>47</v>
      </c>
      <c r="D35" s="1" t="s">
        <v>48</v>
      </c>
      <c r="E35" s="1" t="s">
        <v>49</v>
      </c>
      <c r="F35" s="1" t="s">
        <v>49</v>
      </c>
      <c r="G35" s="1" t="s">
        <v>50</v>
      </c>
      <c r="H35" s="1" t="s">
        <v>51</v>
      </c>
      <c r="I35" s="1" t="s">
        <v>256</v>
      </c>
      <c r="J35" s="1" t="s">
        <v>57</v>
      </c>
      <c r="K35" s="1" t="s">
        <v>256</v>
      </c>
      <c r="L35" s="1" t="s">
        <v>55</v>
      </c>
      <c r="M35" s="1" t="s">
        <v>55</v>
      </c>
      <c r="N35" s="1" t="s">
        <v>55</v>
      </c>
      <c r="O35" s="1" t="s">
        <v>55</v>
      </c>
      <c r="P35" s="1" t="s">
        <v>55</v>
      </c>
      <c r="Q35" s="1" t="s">
        <v>55</v>
      </c>
      <c r="R35" s="1" t="s">
        <v>55</v>
      </c>
      <c r="S35" s="1" t="s">
        <v>55</v>
      </c>
      <c r="T35" s="1" t="s">
        <v>55</v>
      </c>
      <c r="U35" s="1" t="s">
        <v>55</v>
      </c>
      <c r="V35" s="1" t="s">
        <v>55</v>
      </c>
      <c r="W35" s="1" t="s">
        <v>55</v>
      </c>
      <c r="X35" s="1" t="s">
        <v>55</v>
      </c>
      <c r="Y35" s="1" t="s">
        <v>50</v>
      </c>
      <c r="Z35">
        <f>_xll.BDP($B35,"CUST_TRR_RETURN_HOLDING_PER","CUST_TRR_START_DT","20260401","CUST_TRR_END_DT","20260430","CUST_TRR_CRNCY","USD")</f>
        <v>8.414873</v>
      </c>
      <c r="AA35">
        <f>_xll.BDP($B35,"CUST_TRR_RETURN_HOLDING_PER","CUST_TRR_START_DT","20260501","CUST_TRR_END_DT","20260531","CUST_TRR_CRNCY","USD")</f>
        <v>11.323270000000001</v>
      </c>
      <c r="AB35" t="str">
        <f>_xll.BDP($B35,"CUST_TRR_RETURN_HOLDING_PER","CUST_TRR_START_DT","20260601","CUST_TRR_END_DT","20260630","CUST_TRR_CRNCY","USD")</f>
        <v>#N/A N/A</v>
      </c>
      <c r="AC35" s="1" t="s">
        <v>56</v>
      </c>
      <c r="AD35" s="1" t="s">
        <v>56</v>
      </c>
      <c r="AE35" s="1" t="s">
        <v>56</v>
      </c>
      <c r="AF35" s="1" t="s">
        <v>56</v>
      </c>
      <c r="AG35" s="1" t="s">
        <v>56</v>
      </c>
      <c r="AH35" s="1" t="s">
        <v>56</v>
      </c>
      <c r="AI35" s="1" t="s">
        <v>257</v>
      </c>
      <c r="AJ35" s="1" t="s">
        <v>57</v>
      </c>
      <c r="AK35" s="1" t="s">
        <v>56</v>
      </c>
      <c r="AL35" s="1" t="s">
        <v>258</v>
      </c>
      <c r="AM35" s="1" t="s">
        <v>259</v>
      </c>
      <c r="AN35" s="1" t="s">
        <v>56</v>
      </c>
      <c r="AO35" s="1" t="s">
        <v>260</v>
      </c>
      <c r="AP35" s="1" t="s">
        <v>261</v>
      </c>
      <c r="AQ35" s="1" t="s">
        <v>56</v>
      </c>
      <c r="AR35" s="1" t="s">
        <v>173</v>
      </c>
      <c r="AS35" s="1" t="s">
        <v>174</v>
      </c>
    </row>
    <row r="36" spans="1:45" x14ac:dyDescent="0.25">
      <c r="A36" s="1" t="s">
        <v>262</v>
      </c>
      <c r="B36" s="1" t="s">
        <v>263</v>
      </c>
      <c r="C36" s="1" t="s">
        <v>47</v>
      </c>
      <c r="D36" s="1" t="s">
        <v>48</v>
      </c>
      <c r="E36" s="1" t="s">
        <v>49</v>
      </c>
      <c r="F36" s="1" t="s">
        <v>49</v>
      </c>
      <c r="G36" s="1" t="s">
        <v>50</v>
      </c>
      <c r="H36" s="1" t="s">
        <v>51</v>
      </c>
      <c r="I36" s="1" t="s">
        <v>264</v>
      </c>
      <c r="J36" s="1" t="s">
        <v>265</v>
      </c>
      <c r="K36" s="1" t="s">
        <v>266</v>
      </c>
      <c r="L36" s="1" t="s">
        <v>55</v>
      </c>
      <c r="M36" s="1" t="s">
        <v>55</v>
      </c>
      <c r="N36" s="1" t="s">
        <v>55</v>
      </c>
      <c r="O36" s="1" t="s">
        <v>55</v>
      </c>
      <c r="P36" s="1" t="s">
        <v>55</v>
      </c>
      <c r="Q36" s="1" t="s">
        <v>55</v>
      </c>
      <c r="R36" s="1" t="s">
        <v>55</v>
      </c>
      <c r="S36" s="1" t="s">
        <v>55</v>
      </c>
      <c r="T36" s="1" t="s">
        <v>55</v>
      </c>
      <c r="U36" s="1" t="s">
        <v>55</v>
      </c>
      <c r="V36" s="1" t="s">
        <v>55</v>
      </c>
      <c r="W36" s="1" t="s">
        <v>55</v>
      </c>
      <c r="X36" s="1" t="s">
        <v>55</v>
      </c>
      <c r="Y36" s="1" t="s">
        <v>50</v>
      </c>
      <c r="Z36">
        <f>_xll.BDP($B36,"CUST_TRR_RETURN_HOLDING_PER","CUST_TRR_START_DT","20260401","CUST_TRR_END_DT","20260430","CUST_TRR_CRNCY","USD")</f>
        <v>16.450610000000001</v>
      </c>
      <c r="AA36">
        <f>_xll.BDP($B36,"CUST_TRR_RETURN_HOLDING_PER","CUST_TRR_START_DT","20260501","CUST_TRR_END_DT","20260531","CUST_TRR_CRNCY","USD")</f>
        <v>22.187529999999999</v>
      </c>
      <c r="AB36" t="str">
        <f>_xll.BDP($B36,"CUST_TRR_RETURN_HOLDING_PER","CUST_TRR_START_DT","20260601","CUST_TRR_END_DT","20260630","CUST_TRR_CRNCY","USD")</f>
        <v>#N/A N/A</v>
      </c>
      <c r="AC36" s="1" t="s">
        <v>56</v>
      </c>
      <c r="AD36" s="1" t="s">
        <v>56</v>
      </c>
      <c r="AE36" s="1" t="s">
        <v>56</v>
      </c>
      <c r="AF36" s="1" t="s">
        <v>56</v>
      </c>
      <c r="AG36" s="1" t="s">
        <v>56</v>
      </c>
      <c r="AH36" s="1" t="s">
        <v>56</v>
      </c>
      <c r="AI36" s="1" t="s">
        <v>267</v>
      </c>
      <c r="AJ36" s="1" t="s">
        <v>57</v>
      </c>
      <c r="AK36" s="1" t="s">
        <v>56</v>
      </c>
      <c r="AL36" s="1" t="s">
        <v>268</v>
      </c>
      <c r="AM36" s="1" t="s">
        <v>57</v>
      </c>
      <c r="AN36" s="1" t="s">
        <v>56</v>
      </c>
      <c r="AO36" s="1" t="s">
        <v>57</v>
      </c>
      <c r="AP36" s="1" t="s">
        <v>269</v>
      </c>
      <c r="AQ36" s="1" t="s">
        <v>56</v>
      </c>
      <c r="AR36" s="1" t="s">
        <v>56</v>
      </c>
      <c r="AS36" s="1" t="s">
        <v>56</v>
      </c>
    </row>
    <row r="37" spans="1:45" x14ac:dyDescent="0.25">
      <c r="A37" s="1" t="s">
        <v>270</v>
      </c>
      <c r="B37" s="1" t="s">
        <v>271</v>
      </c>
      <c r="C37" s="1" t="s">
        <v>47</v>
      </c>
      <c r="D37" s="1" t="s">
        <v>48</v>
      </c>
      <c r="E37" s="1" t="s">
        <v>49</v>
      </c>
      <c r="F37" s="1" t="s">
        <v>49</v>
      </c>
      <c r="G37" s="1" t="s">
        <v>50</v>
      </c>
      <c r="H37" s="1" t="s">
        <v>51</v>
      </c>
      <c r="I37" s="1" t="s">
        <v>272</v>
      </c>
      <c r="J37" s="1" t="s">
        <v>273</v>
      </c>
      <c r="K37" s="1" t="s">
        <v>274</v>
      </c>
      <c r="L37" s="1" t="s">
        <v>55</v>
      </c>
      <c r="M37" s="1" t="s">
        <v>55</v>
      </c>
      <c r="N37" s="1" t="s">
        <v>55</v>
      </c>
      <c r="O37" s="1" t="s">
        <v>55</v>
      </c>
      <c r="P37" s="1" t="s">
        <v>55</v>
      </c>
      <c r="Q37" s="1" t="s">
        <v>55</v>
      </c>
      <c r="R37" s="1" t="s">
        <v>55</v>
      </c>
      <c r="S37" s="1" t="s">
        <v>55</v>
      </c>
      <c r="T37" s="1" t="s">
        <v>55</v>
      </c>
      <c r="U37" s="1" t="s">
        <v>55</v>
      </c>
      <c r="V37" s="1" t="s">
        <v>55</v>
      </c>
      <c r="W37" s="1" t="s">
        <v>55</v>
      </c>
      <c r="X37" s="1" t="s">
        <v>55</v>
      </c>
      <c r="Y37" s="1" t="s">
        <v>50</v>
      </c>
      <c r="Z37" t="str">
        <f>_xll.BDP($B37,"CUST_TRR_RETURN_HOLDING_PER","CUST_TRR_START_DT","20260401","CUST_TRR_END_DT","20260430","CUST_TRR_CRNCY","USD")</f>
        <v>#N/A N/A</v>
      </c>
      <c r="AA37">
        <f>_xll.BDP($B37,"CUST_TRR_RETURN_HOLDING_PER","CUST_TRR_START_DT","20260501","CUST_TRR_END_DT","20260531","CUST_TRR_CRNCY","USD")</f>
        <v>-6.8443620000000003</v>
      </c>
      <c r="AB37" t="str">
        <f>_xll.BDP($B37,"CUST_TRR_RETURN_HOLDING_PER","CUST_TRR_START_DT","20260601","CUST_TRR_END_DT","20260630","CUST_TRR_CRNCY","USD")</f>
        <v>#N/A N/A</v>
      </c>
      <c r="AC37" s="1" t="s">
        <v>56</v>
      </c>
      <c r="AD37" s="1" t="s">
        <v>56</v>
      </c>
      <c r="AE37" s="1" t="s">
        <v>56</v>
      </c>
      <c r="AF37" s="1" t="s">
        <v>56</v>
      </c>
      <c r="AG37" s="1" t="s">
        <v>56</v>
      </c>
      <c r="AH37" s="1" t="s">
        <v>56</v>
      </c>
      <c r="AI37" s="1" t="s">
        <v>57</v>
      </c>
      <c r="AJ37" s="1" t="s">
        <v>57</v>
      </c>
      <c r="AK37" s="1" t="s">
        <v>56</v>
      </c>
      <c r="AL37" s="1" t="s">
        <v>275</v>
      </c>
      <c r="AM37" s="1" t="s">
        <v>57</v>
      </c>
      <c r="AN37" s="1" t="s">
        <v>56</v>
      </c>
      <c r="AO37" s="1" t="s">
        <v>276</v>
      </c>
      <c r="AP37" s="1" t="s">
        <v>57</v>
      </c>
      <c r="AQ37" s="1" t="s">
        <v>56</v>
      </c>
      <c r="AR37" s="1" t="s">
        <v>59</v>
      </c>
      <c r="AS37" s="1" t="s">
        <v>60</v>
      </c>
    </row>
    <row r="38" spans="1:45" x14ac:dyDescent="0.25">
      <c r="A38" s="1" t="s">
        <v>277</v>
      </c>
      <c r="B38" s="1" t="s">
        <v>278</v>
      </c>
      <c r="C38" s="1" t="s">
        <v>47</v>
      </c>
      <c r="D38" s="1" t="s">
        <v>48</v>
      </c>
      <c r="E38" s="1" t="s">
        <v>49</v>
      </c>
      <c r="F38" s="1" t="s">
        <v>49</v>
      </c>
      <c r="G38" s="1" t="s">
        <v>50</v>
      </c>
      <c r="H38" s="1" t="s">
        <v>51</v>
      </c>
      <c r="I38" s="1" t="s">
        <v>279</v>
      </c>
      <c r="J38" s="1" t="s">
        <v>57</v>
      </c>
      <c r="K38" s="1" t="s">
        <v>279</v>
      </c>
      <c r="L38" s="1" t="s">
        <v>55</v>
      </c>
      <c r="M38" s="1" t="s">
        <v>55</v>
      </c>
      <c r="N38" s="1" t="s">
        <v>55</v>
      </c>
      <c r="O38" s="1" t="s">
        <v>55</v>
      </c>
      <c r="P38" s="1" t="s">
        <v>55</v>
      </c>
      <c r="Q38" s="1" t="s">
        <v>55</v>
      </c>
      <c r="R38" s="1" t="s">
        <v>55</v>
      </c>
      <c r="S38" s="1" t="s">
        <v>55</v>
      </c>
      <c r="T38" s="1" t="s">
        <v>55</v>
      </c>
      <c r="U38" s="1" t="s">
        <v>55</v>
      </c>
      <c r="V38" s="1" t="s">
        <v>55</v>
      </c>
      <c r="W38" s="1" t="s">
        <v>55</v>
      </c>
      <c r="X38" s="1" t="s">
        <v>55</v>
      </c>
      <c r="Y38" s="1" t="s">
        <v>50</v>
      </c>
      <c r="Z38" t="str">
        <f>_xll.BDP($B38,"CUST_TRR_RETURN_HOLDING_PER","CUST_TRR_START_DT","20260401","CUST_TRR_END_DT","20260430","CUST_TRR_CRNCY","USD")</f>
        <v>#N/A N/A</v>
      </c>
      <c r="AA38">
        <f>_xll.BDP($B38,"CUST_TRR_RETURN_HOLDING_PER","CUST_TRR_START_DT","20260501","CUST_TRR_END_DT","20260531","CUST_TRR_CRNCY","USD")</f>
        <v>-1.1241209999999999</v>
      </c>
      <c r="AB38" t="str">
        <f>_xll.BDP($B38,"CUST_TRR_RETURN_HOLDING_PER","CUST_TRR_START_DT","20260601","CUST_TRR_END_DT","20260630","CUST_TRR_CRNCY","USD")</f>
        <v>#N/A N/A</v>
      </c>
      <c r="AC38" s="1" t="s">
        <v>56</v>
      </c>
      <c r="AD38" s="1" t="s">
        <v>56</v>
      </c>
      <c r="AE38" s="1" t="s">
        <v>56</v>
      </c>
      <c r="AF38" s="1" t="s">
        <v>56</v>
      </c>
      <c r="AG38" s="1" t="s">
        <v>56</v>
      </c>
      <c r="AH38" s="1" t="s">
        <v>56</v>
      </c>
      <c r="AI38" s="1" t="s">
        <v>57</v>
      </c>
      <c r="AJ38" s="1" t="s">
        <v>57</v>
      </c>
      <c r="AK38" s="1" t="s">
        <v>56</v>
      </c>
      <c r="AL38" s="1" t="s">
        <v>280</v>
      </c>
      <c r="AM38" s="1" t="s">
        <v>57</v>
      </c>
      <c r="AN38" s="1" t="s">
        <v>56</v>
      </c>
      <c r="AO38" s="1" t="s">
        <v>57</v>
      </c>
      <c r="AP38" s="1" t="s">
        <v>57</v>
      </c>
      <c r="AQ38" s="1" t="s">
        <v>56</v>
      </c>
      <c r="AR38" s="1" t="s">
        <v>59</v>
      </c>
      <c r="AS38" s="1" t="s">
        <v>60</v>
      </c>
    </row>
    <row r="39" spans="1:45" x14ac:dyDescent="0.25">
      <c r="A39" s="1" t="s">
        <v>281</v>
      </c>
      <c r="B39" s="1" t="s">
        <v>282</v>
      </c>
      <c r="C39" s="1" t="s">
        <v>47</v>
      </c>
      <c r="D39" s="1" t="s">
        <v>48</v>
      </c>
      <c r="E39" s="1" t="s">
        <v>49</v>
      </c>
      <c r="F39" s="1" t="s">
        <v>49</v>
      </c>
      <c r="G39" s="1" t="s">
        <v>50</v>
      </c>
      <c r="H39" s="1" t="s">
        <v>51</v>
      </c>
      <c r="I39" s="1" t="s">
        <v>283</v>
      </c>
      <c r="J39" s="1" t="s">
        <v>284</v>
      </c>
      <c r="K39" s="1" t="s">
        <v>285</v>
      </c>
      <c r="L39" s="1" t="s">
        <v>55</v>
      </c>
      <c r="M39" s="1" t="s">
        <v>55</v>
      </c>
      <c r="N39" s="1" t="s">
        <v>55</v>
      </c>
      <c r="O39" s="1" t="s">
        <v>55</v>
      </c>
      <c r="P39" s="1" t="s">
        <v>55</v>
      </c>
      <c r="Q39" s="1" t="s">
        <v>55</v>
      </c>
      <c r="R39" s="1" t="s">
        <v>55</v>
      </c>
      <c r="S39" s="1" t="s">
        <v>55</v>
      </c>
      <c r="T39" s="1" t="s">
        <v>55</v>
      </c>
      <c r="U39" s="1" t="s">
        <v>55</v>
      </c>
      <c r="V39" s="1" t="s">
        <v>55</v>
      </c>
      <c r="W39" s="1" t="s">
        <v>55</v>
      </c>
      <c r="X39" s="1" t="s">
        <v>55</v>
      </c>
      <c r="Y39" s="1" t="s">
        <v>50</v>
      </c>
      <c r="Z39" t="str">
        <f>_xll.BDP($B39,"CUST_TRR_RETURN_HOLDING_PER","CUST_TRR_START_DT","20260401","CUST_TRR_END_DT","20260430","CUST_TRR_CRNCY","USD")</f>
        <v>#N/A N/A</v>
      </c>
      <c r="AA39">
        <f>_xll.BDP($B39,"CUST_TRR_RETURN_HOLDING_PER","CUST_TRR_START_DT","20260501","CUST_TRR_END_DT","20260531","CUST_TRR_CRNCY","USD")</f>
        <v>5.0205789999999997</v>
      </c>
      <c r="AB39" t="str">
        <f>_xll.BDP($B39,"CUST_TRR_RETURN_HOLDING_PER","CUST_TRR_START_DT","20260601","CUST_TRR_END_DT","20260630","CUST_TRR_CRNCY","USD")</f>
        <v>#N/A N/A</v>
      </c>
      <c r="AC39" s="1" t="s">
        <v>56</v>
      </c>
      <c r="AD39" s="1" t="s">
        <v>56</v>
      </c>
      <c r="AE39" s="1" t="s">
        <v>56</v>
      </c>
      <c r="AF39" s="1" t="s">
        <v>56</v>
      </c>
      <c r="AG39" s="1" t="s">
        <v>56</v>
      </c>
      <c r="AH39" s="1" t="s">
        <v>56</v>
      </c>
      <c r="AI39" s="1" t="s">
        <v>57</v>
      </c>
      <c r="AJ39" s="1" t="s">
        <v>57</v>
      </c>
      <c r="AK39" s="1" t="s">
        <v>56</v>
      </c>
      <c r="AL39" s="1" t="s">
        <v>286</v>
      </c>
      <c r="AM39" s="1" t="s">
        <v>57</v>
      </c>
      <c r="AN39" s="1" t="s">
        <v>56</v>
      </c>
      <c r="AO39" s="1" t="s">
        <v>57</v>
      </c>
      <c r="AP39" s="1" t="s">
        <v>57</v>
      </c>
      <c r="AQ39" s="1" t="s">
        <v>56</v>
      </c>
      <c r="AR39" s="1" t="s">
        <v>59</v>
      </c>
      <c r="AS39" s="1" t="s">
        <v>60</v>
      </c>
    </row>
    <row r="40" spans="1:45" x14ac:dyDescent="0.25">
      <c r="A40" s="1" t="s">
        <v>287</v>
      </c>
      <c r="B40" s="1" t="s">
        <v>288</v>
      </c>
      <c r="C40" s="1" t="s">
        <v>47</v>
      </c>
      <c r="D40" s="1" t="s">
        <v>48</v>
      </c>
      <c r="E40" s="1" t="s">
        <v>49</v>
      </c>
      <c r="F40" s="1" t="s">
        <v>49</v>
      </c>
      <c r="G40" s="1" t="s">
        <v>50</v>
      </c>
      <c r="H40" s="1" t="s">
        <v>51</v>
      </c>
      <c r="I40" s="1" t="s">
        <v>289</v>
      </c>
      <c r="J40" s="1" t="s">
        <v>57</v>
      </c>
      <c r="K40" s="1" t="s">
        <v>289</v>
      </c>
      <c r="L40" s="1" t="s">
        <v>55</v>
      </c>
      <c r="M40" s="1" t="s">
        <v>55</v>
      </c>
      <c r="N40" s="1" t="s">
        <v>55</v>
      </c>
      <c r="O40" s="1" t="s">
        <v>55</v>
      </c>
      <c r="P40" s="1" t="s">
        <v>55</v>
      </c>
      <c r="Q40" s="1" t="s">
        <v>55</v>
      </c>
      <c r="R40" s="1" t="s">
        <v>55</v>
      </c>
      <c r="S40" s="1" t="s">
        <v>55</v>
      </c>
      <c r="T40" s="1" t="s">
        <v>55</v>
      </c>
      <c r="U40" s="1" t="s">
        <v>55</v>
      </c>
      <c r="V40" s="1" t="s">
        <v>55</v>
      </c>
      <c r="W40" s="1" t="s">
        <v>55</v>
      </c>
      <c r="X40" s="1" t="s">
        <v>55</v>
      </c>
      <c r="Y40" s="1" t="s">
        <v>50</v>
      </c>
      <c r="Z40" t="str">
        <f>_xll.BDP($B40,"CUST_TRR_RETURN_HOLDING_PER","CUST_TRR_START_DT","20260401","CUST_TRR_END_DT","20260430","CUST_TRR_CRNCY","USD")</f>
        <v>#N/A N/A</v>
      </c>
      <c r="AA40" t="str">
        <f>_xll.BDP($B40,"CUST_TRR_RETURN_HOLDING_PER","CUST_TRR_START_DT","20260501","CUST_TRR_END_DT","20260531","CUST_TRR_CRNCY","USD")</f>
        <v>#N/A N/A</v>
      </c>
      <c r="AB40" t="str">
        <f>_xll.BDP($B40,"CUST_TRR_RETURN_HOLDING_PER","CUST_TRR_START_DT","20260601","CUST_TRR_END_DT","20260630","CUST_TRR_CRNCY","USD")</f>
        <v>#N/A N/A</v>
      </c>
      <c r="AC40" s="1" t="s">
        <v>56</v>
      </c>
      <c r="AD40" s="1" t="s">
        <v>56</v>
      </c>
      <c r="AE40" s="1" t="s">
        <v>56</v>
      </c>
      <c r="AF40" s="1" t="s">
        <v>56</v>
      </c>
      <c r="AG40" s="1" t="s">
        <v>56</v>
      </c>
      <c r="AH40" s="1" t="s">
        <v>56</v>
      </c>
      <c r="AI40" s="1" t="s">
        <v>55</v>
      </c>
      <c r="AJ40" s="1" t="s">
        <v>55</v>
      </c>
      <c r="AK40" s="1" t="s">
        <v>56</v>
      </c>
      <c r="AL40" s="1" t="s">
        <v>55</v>
      </c>
      <c r="AM40" s="1" t="s">
        <v>55</v>
      </c>
      <c r="AN40" s="1" t="s">
        <v>56</v>
      </c>
      <c r="AO40" s="1" t="s">
        <v>55</v>
      </c>
      <c r="AP40" s="1" t="s">
        <v>55</v>
      </c>
      <c r="AQ40" s="1" t="s">
        <v>56</v>
      </c>
      <c r="AR40" s="1" t="s">
        <v>173</v>
      </c>
      <c r="AS40" s="1" t="s">
        <v>174</v>
      </c>
    </row>
    <row r="41" spans="1:45" x14ac:dyDescent="0.25">
      <c r="A41" s="1" t="s">
        <v>290</v>
      </c>
      <c r="B41" s="1" t="s">
        <v>291</v>
      </c>
      <c r="C41" s="1" t="s">
        <v>47</v>
      </c>
      <c r="D41" s="1" t="s">
        <v>48</v>
      </c>
      <c r="E41" s="1" t="s">
        <v>49</v>
      </c>
      <c r="F41" s="1" t="s">
        <v>49</v>
      </c>
      <c r="G41" s="1" t="s">
        <v>50</v>
      </c>
      <c r="H41" s="1" t="s">
        <v>51</v>
      </c>
      <c r="I41" s="1" t="s">
        <v>292</v>
      </c>
      <c r="J41" s="1" t="s">
        <v>293</v>
      </c>
      <c r="K41" s="1" t="s">
        <v>294</v>
      </c>
      <c r="L41" s="1" t="s">
        <v>55</v>
      </c>
      <c r="M41" s="1" t="s">
        <v>55</v>
      </c>
      <c r="N41" s="1" t="s">
        <v>55</v>
      </c>
      <c r="O41" s="1" t="s">
        <v>55</v>
      </c>
      <c r="P41" s="1" t="s">
        <v>55</v>
      </c>
      <c r="Q41" s="1" t="s">
        <v>55</v>
      </c>
      <c r="R41" s="1" t="s">
        <v>55</v>
      </c>
      <c r="S41" s="1" t="s">
        <v>55</v>
      </c>
      <c r="T41" s="1" t="s">
        <v>55</v>
      </c>
      <c r="U41" s="1" t="s">
        <v>55</v>
      </c>
      <c r="V41" s="1" t="s">
        <v>55</v>
      </c>
      <c r="W41" s="1" t="s">
        <v>55</v>
      </c>
      <c r="X41" s="1" t="s">
        <v>55</v>
      </c>
      <c r="Y41" s="1" t="s">
        <v>50</v>
      </c>
      <c r="Z41" t="str">
        <f>_xll.BDP($B41,"CUST_TRR_RETURN_HOLDING_PER","CUST_TRR_START_DT","20260401","CUST_TRR_END_DT","20260430","CUST_TRR_CRNCY","USD")</f>
        <v>#N/A N/A</v>
      </c>
      <c r="AA41" t="str">
        <f>_xll.BDP($B41,"CUST_TRR_RETURN_HOLDING_PER","CUST_TRR_START_DT","20260501","CUST_TRR_END_DT","20260531","CUST_TRR_CRNCY","USD")</f>
        <v>#N/A N/A</v>
      </c>
      <c r="AB41" t="str">
        <f>_xll.BDP($B41,"CUST_TRR_RETURN_HOLDING_PER","CUST_TRR_START_DT","20260601","CUST_TRR_END_DT","20260630","CUST_TRR_CRNCY","USD")</f>
        <v>#N/A N/A</v>
      </c>
      <c r="AC41" s="1" t="s">
        <v>56</v>
      </c>
      <c r="AD41" s="1" t="s">
        <v>56</v>
      </c>
      <c r="AE41" s="1" t="s">
        <v>56</v>
      </c>
      <c r="AF41" s="1" t="s">
        <v>56</v>
      </c>
      <c r="AG41" s="1" t="s">
        <v>56</v>
      </c>
      <c r="AH41" s="1" t="s">
        <v>56</v>
      </c>
      <c r="AI41" s="1" t="s">
        <v>57</v>
      </c>
      <c r="AJ41" s="1" t="s">
        <v>57</v>
      </c>
      <c r="AK41" s="1" t="s">
        <v>56</v>
      </c>
      <c r="AL41" s="1" t="s">
        <v>57</v>
      </c>
      <c r="AM41" s="1" t="s">
        <v>57</v>
      </c>
      <c r="AN41" s="1" t="s">
        <v>56</v>
      </c>
      <c r="AO41" s="1" t="s">
        <v>295</v>
      </c>
      <c r="AP41" s="1" t="s">
        <v>57</v>
      </c>
      <c r="AQ41" s="1" t="s">
        <v>56</v>
      </c>
      <c r="AR41" s="1" t="s">
        <v>59</v>
      </c>
      <c r="AS41" s="1" t="s">
        <v>60</v>
      </c>
    </row>
    <row r="42" spans="1:45" x14ac:dyDescent="0.25">
      <c r="A42" s="1" t="s">
        <v>296</v>
      </c>
      <c r="B42" s="1" t="s">
        <v>297</v>
      </c>
      <c r="C42" s="1" t="s">
        <v>47</v>
      </c>
      <c r="D42" s="1" t="s">
        <v>48</v>
      </c>
      <c r="E42" s="1" t="s">
        <v>49</v>
      </c>
      <c r="F42" s="1" t="s">
        <v>49</v>
      </c>
      <c r="G42" s="1" t="s">
        <v>50</v>
      </c>
      <c r="H42" s="1" t="s">
        <v>51</v>
      </c>
      <c r="I42" s="1" t="s">
        <v>298</v>
      </c>
      <c r="J42" s="1" t="s">
        <v>299</v>
      </c>
      <c r="K42" s="1" t="s">
        <v>300</v>
      </c>
      <c r="L42" s="1" t="s">
        <v>55</v>
      </c>
      <c r="M42" s="1" t="s">
        <v>55</v>
      </c>
      <c r="N42" s="1" t="s">
        <v>55</v>
      </c>
      <c r="O42" s="1" t="s">
        <v>55</v>
      </c>
      <c r="P42" s="1" t="s">
        <v>55</v>
      </c>
      <c r="Q42" s="1" t="s">
        <v>55</v>
      </c>
      <c r="R42" s="1" t="s">
        <v>55</v>
      </c>
      <c r="S42" s="1" t="s">
        <v>55</v>
      </c>
      <c r="T42" s="1" t="s">
        <v>55</v>
      </c>
      <c r="U42" s="1" t="s">
        <v>55</v>
      </c>
      <c r="V42" s="1" t="s">
        <v>55</v>
      </c>
      <c r="W42" s="1" t="s">
        <v>55</v>
      </c>
      <c r="X42" s="1" t="s">
        <v>55</v>
      </c>
      <c r="Y42" s="1" t="s">
        <v>50</v>
      </c>
      <c r="Z42" t="str">
        <f>_xll.BDP($B42,"CUST_TRR_RETURN_HOLDING_PER","CUST_TRR_START_DT","20260401","CUST_TRR_END_DT","20260430","CUST_TRR_CRNCY","USD")</f>
        <v>#N/A N/A</v>
      </c>
      <c r="AA42">
        <f>_xll.BDP($B42,"CUST_TRR_RETURN_HOLDING_PER","CUST_TRR_START_DT","20260501","CUST_TRR_END_DT","20260531","CUST_TRR_CRNCY","USD")</f>
        <v>0.54290590000000005</v>
      </c>
      <c r="AB42" t="str">
        <f>_xll.BDP($B42,"CUST_TRR_RETURN_HOLDING_PER","CUST_TRR_START_DT","20260601","CUST_TRR_END_DT","20260630","CUST_TRR_CRNCY","USD")</f>
        <v>#N/A N/A</v>
      </c>
      <c r="AC42" s="1" t="s">
        <v>56</v>
      </c>
      <c r="AD42" s="1" t="s">
        <v>56</v>
      </c>
      <c r="AE42" s="1" t="s">
        <v>56</v>
      </c>
      <c r="AF42" s="1" t="s">
        <v>56</v>
      </c>
      <c r="AG42" s="1" t="s">
        <v>56</v>
      </c>
      <c r="AH42" s="1" t="s">
        <v>56</v>
      </c>
      <c r="AI42" s="1" t="s">
        <v>57</v>
      </c>
      <c r="AJ42" s="1" t="s">
        <v>57</v>
      </c>
      <c r="AK42" s="1" t="s">
        <v>56</v>
      </c>
      <c r="AL42" s="1" t="s">
        <v>301</v>
      </c>
      <c r="AM42" s="1" t="s">
        <v>57</v>
      </c>
      <c r="AN42" s="1" t="s">
        <v>56</v>
      </c>
      <c r="AO42" s="1" t="s">
        <v>57</v>
      </c>
      <c r="AP42" s="1" t="s">
        <v>302</v>
      </c>
      <c r="AQ42" s="1" t="s">
        <v>56</v>
      </c>
      <c r="AR42" s="1" t="s">
        <v>59</v>
      </c>
      <c r="AS42" s="1" t="s">
        <v>60</v>
      </c>
    </row>
    <row r="43" spans="1:45" x14ac:dyDescent="0.25">
      <c r="A43" s="1" t="s">
        <v>303</v>
      </c>
      <c r="B43" s="1" t="s">
        <v>304</v>
      </c>
      <c r="C43" s="1" t="s">
        <v>47</v>
      </c>
      <c r="D43" s="1" t="s">
        <v>48</v>
      </c>
      <c r="E43" s="1" t="s">
        <v>49</v>
      </c>
      <c r="F43" s="1" t="s">
        <v>49</v>
      </c>
      <c r="G43" s="1" t="s">
        <v>50</v>
      </c>
      <c r="H43" s="1" t="s">
        <v>51</v>
      </c>
      <c r="I43" s="1" t="s">
        <v>305</v>
      </c>
      <c r="J43" s="1" t="s">
        <v>306</v>
      </c>
      <c r="K43" s="1" t="s">
        <v>307</v>
      </c>
      <c r="L43" s="1" t="s">
        <v>55</v>
      </c>
      <c r="M43" s="1" t="s">
        <v>55</v>
      </c>
      <c r="N43" s="1" t="s">
        <v>55</v>
      </c>
      <c r="O43" s="1" t="s">
        <v>55</v>
      </c>
      <c r="P43" s="1" t="s">
        <v>55</v>
      </c>
      <c r="Q43" s="1" t="s">
        <v>55</v>
      </c>
      <c r="R43" s="1" t="s">
        <v>55</v>
      </c>
      <c r="S43" s="1" t="s">
        <v>55</v>
      </c>
      <c r="T43" s="1" t="s">
        <v>55</v>
      </c>
      <c r="U43" s="1" t="s">
        <v>55</v>
      </c>
      <c r="V43" s="1" t="s">
        <v>55</v>
      </c>
      <c r="W43" s="1" t="s">
        <v>55</v>
      </c>
      <c r="X43" s="1" t="s">
        <v>55</v>
      </c>
      <c r="Y43" s="1" t="s">
        <v>50</v>
      </c>
      <c r="Z43" t="str">
        <f>_xll.BDP($B43,"CUST_TRR_RETURN_HOLDING_PER","CUST_TRR_START_DT","20260401","CUST_TRR_END_DT","20260430","CUST_TRR_CRNCY","USD")</f>
        <v>#N/A N/A</v>
      </c>
      <c r="AA43">
        <f>_xll.BDP($B43,"CUST_TRR_RETURN_HOLDING_PER","CUST_TRR_START_DT","20260501","CUST_TRR_END_DT","20260531","CUST_TRR_CRNCY","USD")</f>
        <v>-1.7000189999999999</v>
      </c>
      <c r="AB43" t="str">
        <f>_xll.BDP($B43,"CUST_TRR_RETURN_HOLDING_PER","CUST_TRR_START_DT","20260601","CUST_TRR_END_DT","20260630","CUST_TRR_CRNCY","USD")</f>
        <v>#N/A N/A</v>
      </c>
      <c r="AC43" s="1" t="s">
        <v>56</v>
      </c>
      <c r="AD43" s="1" t="s">
        <v>56</v>
      </c>
      <c r="AE43" s="1" t="s">
        <v>56</v>
      </c>
      <c r="AF43" s="1" t="s">
        <v>56</v>
      </c>
      <c r="AG43" s="1" t="s">
        <v>56</v>
      </c>
      <c r="AH43" s="1" t="s">
        <v>56</v>
      </c>
      <c r="AI43" s="1" t="s">
        <v>57</v>
      </c>
      <c r="AJ43" s="1" t="s">
        <v>57</v>
      </c>
      <c r="AK43" s="1" t="s">
        <v>56</v>
      </c>
      <c r="AL43" s="1" t="s">
        <v>308</v>
      </c>
      <c r="AM43" s="1" t="s">
        <v>57</v>
      </c>
      <c r="AN43" s="1" t="s">
        <v>56</v>
      </c>
      <c r="AO43" s="1" t="s">
        <v>57</v>
      </c>
      <c r="AP43" s="1" t="s">
        <v>309</v>
      </c>
      <c r="AQ43" s="1" t="s">
        <v>56</v>
      </c>
      <c r="AR43" s="1" t="s">
        <v>59</v>
      </c>
      <c r="AS43" s="1" t="s">
        <v>60</v>
      </c>
    </row>
    <row r="44" spans="1:45" x14ac:dyDescent="0.25">
      <c r="A44" s="1" t="s">
        <v>310</v>
      </c>
      <c r="B44" s="1" t="s">
        <v>311</v>
      </c>
      <c r="C44" s="1" t="s">
        <v>47</v>
      </c>
      <c r="D44" s="1" t="s">
        <v>48</v>
      </c>
      <c r="E44" s="1" t="s">
        <v>49</v>
      </c>
      <c r="F44" s="1" t="s">
        <v>49</v>
      </c>
      <c r="G44" s="1" t="s">
        <v>50</v>
      </c>
      <c r="H44" s="1" t="s">
        <v>51</v>
      </c>
      <c r="I44" s="1" t="s">
        <v>312</v>
      </c>
      <c r="J44" s="1" t="s">
        <v>313</v>
      </c>
      <c r="K44" s="1" t="s">
        <v>314</v>
      </c>
      <c r="L44" s="1" t="s">
        <v>55</v>
      </c>
      <c r="M44" s="1" t="s">
        <v>55</v>
      </c>
      <c r="N44" s="1" t="s">
        <v>55</v>
      </c>
      <c r="O44" s="1" t="s">
        <v>55</v>
      </c>
      <c r="P44" s="1" t="s">
        <v>55</v>
      </c>
      <c r="Q44" s="1" t="s">
        <v>55</v>
      </c>
      <c r="R44" s="1" t="s">
        <v>55</v>
      </c>
      <c r="S44" s="1" t="s">
        <v>55</v>
      </c>
      <c r="T44" s="1" t="s">
        <v>55</v>
      </c>
      <c r="U44" s="1" t="s">
        <v>55</v>
      </c>
      <c r="V44" s="1" t="s">
        <v>55</v>
      </c>
      <c r="W44" s="1" t="s">
        <v>55</v>
      </c>
      <c r="X44" s="1" t="s">
        <v>55</v>
      </c>
      <c r="Y44" s="1" t="s">
        <v>50</v>
      </c>
      <c r="Z44" t="str">
        <f>_xll.BDP($B44,"CUST_TRR_RETURN_HOLDING_PER","CUST_TRR_START_DT","20260401","CUST_TRR_END_DT","20260430","CUST_TRR_CRNCY","USD")</f>
        <v>#N/A N/A</v>
      </c>
      <c r="AA44" t="str">
        <f>_xll.BDP($B44,"CUST_TRR_RETURN_HOLDING_PER","CUST_TRR_START_DT","20260501","CUST_TRR_END_DT","20260531","CUST_TRR_CRNCY","USD")</f>
        <v>#N/A N/A</v>
      </c>
      <c r="AB44" t="str">
        <f>_xll.BDP($B44,"CUST_TRR_RETURN_HOLDING_PER","CUST_TRR_START_DT","20260601","CUST_TRR_END_DT","20260630","CUST_TRR_CRNCY","USD")</f>
        <v>#N/A N/A</v>
      </c>
      <c r="AC44" s="1" t="s">
        <v>56</v>
      </c>
      <c r="AD44" s="1" t="s">
        <v>56</v>
      </c>
      <c r="AE44" s="1" t="s">
        <v>56</v>
      </c>
      <c r="AF44" s="1" t="s">
        <v>56</v>
      </c>
      <c r="AG44" s="1" t="s">
        <v>56</v>
      </c>
      <c r="AH44" s="1" t="s">
        <v>56</v>
      </c>
      <c r="AI44" s="1" t="s">
        <v>57</v>
      </c>
      <c r="AJ44" s="1" t="s">
        <v>57</v>
      </c>
      <c r="AK44" s="1" t="s">
        <v>56</v>
      </c>
      <c r="AL44" s="1" t="s">
        <v>57</v>
      </c>
      <c r="AM44" s="1" t="s">
        <v>57</v>
      </c>
      <c r="AN44" s="1" t="s">
        <v>56</v>
      </c>
      <c r="AO44" s="1" t="s">
        <v>315</v>
      </c>
      <c r="AP44" s="1" t="s">
        <v>316</v>
      </c>
      <c r="AQ44" s="1" t="s">
        <v>56</v>
      </c>
      <c r="AR44" s="1" t="s">
        <v>317</v>
      </c>
      <c r="AS44" s="1" t="s">
        <v>318</v>
      </c>
    </row>
    <row r="45" spans="1:45" x14ac:dyDescent="0.25">
      <c r="A45" s="1" t="s">
        <v>319</v>
      </c>
      <c r="B45" s="1" t="s">
        <v>320</v>
      </c>
      <c r="C45" s="1" t="s">
        <v>47</v>
      </c>
      <c r="D45" s="1" t="s">
        <v>48</v>
      </c>
      <c r="E45" s="1" t="s">
        <v>49</v>
      </c>
      <c r="F45" s="1" t="s">
        <v>49</v>
      </c>
      <c r="G45" s="1" t="s">
        <v>50</v>
      </c>
      <c r="H45" s="1" t="s">
        <v>51</v>
      </c>
      <c r="I45" s="1" t="s">
        <v>321</v>
      </c>
      <c r="J45" s="1" t="s">
        <v>322</v>
      </c>
      <c r="K45" s="1" t="s">
        <v>323</v>
      </c>
      <c r="L45" s="1" t="s">
        <v>55</v>
      </c>
      <c r="M45" s="1" t="s">
        <v>55</v>
      </c>
      <c r="N45" s="1" t="s">
        <v>55</v>
      </c>
      <c r="O45" s="1" t="s">
        <v>55</v>
      </c>
      <c r="P45" s="1" t="s">
        <v>55</v>
      </c>
      <c r="Q45" s="1" t="s">
        <v>55</v>
      </c>
      <c r="R45" s="1" t="s">
        <v>55</v>
      </c>
      <c r="S45" s="1" t="s">
        <v>55</v>
      </c>
      <c r="T45" s="1" t="s">
        <v>55</v>
      </c>
      <c r="U45" s="1" t="s">
        <v>55</v>
      </c>
      <c r="V45" s="1" t="s">
        <v>55</v>
      </c>
      <c r="W45" s="1" t="s">
        <v>55</v>
      </c>
      <c r="X45" s="1" t="s">
        <v>55</v>
      </c>
      <c r="Y45" s="1" t="s">
        <v>50</v>
      </c>
      <c r="Z45" t="str">
        <f>_xll.BDP($B45,"CUST_TRR_RETURN_HOLDING_PER","CUST_TRR_START_DT","20260401","CUST_TRR_END_DT","20260430","CUST_TRR_CRNCY","USD")</f>
        <v>#N/A N/A</v>
      </c>
      <c r="AA45">
        <f>_xll.BDP($B45,"CUST_TRR_RETURN_HOLDING_PER","CUST_TRR_START_DT","20260501","CUST_TRR_END_DT","20260531","CUST_TRR_CRNCY","USD")</f>
        <v>-1.119381</v>
      </c>
      <c r="AB45" t="str">
        <f>_xll.BDP($B45,"CUST_TRR_RETURN_HOLDING_PER","CUST_TRR_START_DT","20260601","CUST_TRR_END_DT","20260630","CUST_TRR_CRNCY","USD")</f>
        <v>#N/A N/A</v>
      </c>
      <c r="AC45" s="1" t="s">
        <v>56</v>
      </c>
      <c r="AD45" s="1" t="s">
        <v>56</v>
      </c>
      <c r="AE45" s="1" t="s">
        <v>56</v>
      </c>
      <c r="AF45" s="1" t="s">
        <v>56</v>
      </c>
      <c r="AG45" s="1" t="s">
        <v>56</v>
      </c>
      <c r="AH45" s="1" t="s">
        <v>56</v>
      </c>
      <c r="AI45" s="1" t="s">
        <v>57</v>
      </c>
      <c r="AJ45" s="1" t="s">
        <v>57</v>
      </c>
      <c r="AK45" s="1" t="s">
        <v>56</v>
      </c>
      <c r="AL45" s="1" t="s">
        <v>324</v>
      </c>
      <c r="AM45" s="1" t="s">
        <v>57</v>
      </c>
      <c r="AN45" s="1" t="s">
        <v>56</v>
      </c>
      <c r="AO45" s="1" t="s">
        <v>57</v>
      </c>
      <c r="AP45" s="1" t="s">
        <v>325</v>
      </c>
      <c r="AQ45" s="1" t="s">
        <v>56</v>
      </c>
      <c r="AR45" s="1" t="s">
        <v>317</v>
      </c>
      <c r="AS45" s="1" t="s">
        <v>318</v>
      </c>
    </row>
    <row r="46" spans="1:45" x14ac:dyDescent="0.25">
      <c r="A46" s="1" t="s">
        <v>326</v>
      </c>
      <c r="B46" s="1" t="s">
        <v>327</v>
      </c>
      <c r="C46" s="1" t="s">
        <v>47</v>
      </c>
      <c r="D46" s="1" t="s">
        <v>48</v>
      </c>
      <c r="E46" s="1" t="s">
        <v>49</v>
      </c>
      <c r="F46" s="1" t="s">
        <v>49</v>
      </c>
      <c r="G46" s="1" t="s">
        <v>50</v>
      </c>
      <c r="H46" s="1" t="s">
        <v>51</v>
      </c>
      <c r="I46" s="1" t="s">
        <v>328</v>
      </c>
      <c r="J46" s="1" t="s">
        <v>329</v>
      </c>
      <c r="K46" s="1" t="s">
        <v>330</v>
      </c>
      <c r="L46" s="1" t="s">
        <v>55</v>
      </c>
      <c r="M46" s="1" t="s">
        <v>55</v>
      </c>
      <c r="N46" s="1" t="s">
        <v>55</v>
      </c>
      <c r="O46" s="1" t="s">
        <v>55</v>
      </c>
      <c r="P46" s="1" t="s">
        <v>55</v>
      </c>
      <c r="Q46" s="1" t="s">
        <v>55</v>
      </c>
      <c r="R46" s="1" t="s">
        <v>55</v>
      </c>
      <c r="S46" s="1" t="s">
        <v>55</v>
      </c>
      <c r="T46" s="1" t="s">
        <v>55</v>
      </c>
      <c r="U46" s="1" t="s">
        <v>55</v>
      </c>
      <c r="V46" s="1" t="s">
        <v>55</v>
      </c>
      <c r="W46" s="1" t="s">
        <v>55</v>
      </c>
      <c r="X46" s="1" t="s">
        <v>55</v>
      </c>
      <c r="Y46" s="1" t="s">
        <v>50</v>
      </c>
      <c r="Z46" t="str">
        <f>_xll.BDP($B46,"CUST_TRR_RETURN_HOLDING_PER","CUST_TRR_START_DT","20260401","CUST_TRR_END_DT","20260430","CUST_TRR_CRNCY","USD")</f>
        <v>#N/A N/A</v>
      </c>
      <c r="AA46">
        <f>_xll.BDP($B46,"CUST_TRR_RETURN_HOLDING_PER","CUST_TRR_START_DT","20260501","CUST_TRR_END_DT","20260531","CUST_TRR_CRNCY","USD")</f>
        <v>-4.0600290000000001</v>
      </c>
      <c r="AB46" t="str">
        <f>_xll.BDP($B46,"CUST_TRR_RETURN_HOLDING_PER","CUST_TRR_START_DT","20260601","CUST_TRR_END_DT","20260630","CUST_TRR_CRNCY","USD")</f>
        <v>#N/A N/A</v>
      </c>
      <c r="AC46" s="1" t="s">
        <v>56</v>
      </c>
      <c r="AD46" s="1" t="s">
        <v>56</v>
      </c>
      <c r="AE46" s="1" t="s">
        <v>56</v>
      </c>
      <c r="AF46" s="1" t="s">
        <v>56</v>
      </c>
      <c r="AG46" s="1" t="s">
        <v>56</v>
      </c>
      <c r="AH46" s="1" t="s">
        <v>56</v>
      </c>
      <c r="AI46" s="1" t="s">
        <v>57</v>
      </c>
      <c r="AJ46" s="1" t="s">
        <v>57</v>
      </c>
      <c r="AK46" s="1" t="s">
        <v>56</v>
      </c>
      <c r="AL46" s="1" t="s">
        <v>331</v>
      </c>
      <c r="AM46" s="1" t="s">
        <v>57</v>
      </c>
      <c r="AN46" s="1" t="s">
        <v>56</v>
      </c>
      <c r="AO46" s="1" t="s">
        <v>332</v>
      </c>
      <c r="AP46" s="1" t="s">
        <v>57</v>
      </c>
      <c r="AQ46" s="1" t="s">
        <v>56</v>
      </c>
      <c r="AR46" s="1" t="s">
        <v>59</v>
      </c>
      <c r="AS46" s="1" t="s">
        <v>60</v>
      </c>
    </row>
    <row r="47" spans="1:45" x14ac:dyDescent="0.25">
      <c r="A47" s="1" t="s">
        <v>333</v>
      </c>
      <c r="B47" s="1" t="s">
        <v>334</v>
      </c>
      <c r="C47" s="1" t="s">
        <v>47</v>
      </c>
      <c r="D47" s="1" t="s">
        <v>48</v>
      </c>
      <c r="E47" s="1" t="s">
        <v>49</v>
      </c>
      <c r="F47" s="1" t="s">
        <v>49</v>
      </c>
      <c r="G47" s="1" t="s">
        <v>50</v>
      </c>
      <c r="H47" s="1" t="s">
        <v>51</v>
      </c>
      <c r="I47" s="1" t="s">
        <v>335</v>
      </c>
      <c r="J47" s="1" t="s">
        <v>336</v>
      </c>
      <c r="K47" s="1" t="s">
        <v>337</v>
      </c>
      <c r="L47" s="1" t="s">
        <v>55</v>
      </c>
      <c r="M47" s="1" t="s">
        <v>55</v>
      </c>
      <c r="N47" s="1" t="s">
        <v>55</v>
      </c>
      <c r="O47" s="1" t="s">
        <v>55</v>
      </c>
      <c r="P47" s="1" t="s">
        <v>55</v>
      </c>
      <c r="Q47" s="1" t="s">
        <v>55</v>
      </c>
      <c r="R47" s="1" t="s">
        <v>55</v>
      </c>
      <c r="S47" s="1" t="s">
        <v>55</v>
      </c>
      <c r="T47" s="1" t="s">
        <v>55</v>
      </c>
      <c r="U47" s="1" t="s">
        <v>55</v>
      </c>
      <c r="V47" s="1" t="s">
        <v>55</v>
      </c>
      <c r="W47" s="1" t="s">
        <v>55</v>
      </c>
      <c r="X47" s="1" t="s">
        <v>55</v>
      </c>
      <c r="Y47" s="1" t="s">
        <v>50</v>
      </c>
      <c r="Z47" t="str">
        <f>_xll.BDP($B47,"CUST_TRR_RETURN_HOLDING_PER","CUST_TRR_START_DT","20260401","CUST_TRR_END_DT","20260430","CUST_TRR_CRNCY","USD")</f>
        <v>#N/A N/A</v>
      </c>
      <c r="AA47" t="str">
        <f>_xll.BDP($B47,"CUST_TRR_RETURN_HOLDING_PER","CUST_TRR_START_DT","20260501","CUST_TRR_END_DT","20260531","CUST_TRR_CRNCY","USD")</f>
        <v>#N/A N/A</v>
      </c>
      <c r="AB47" t="str">
        <f>_xll.BDP($B47,"CUST_TRR_RETURN_HOLDING_PER","CUST_TRR_START_DT","20260601","CUST_TRR_END_DT","20260630","CUST_TRR_CRNCY","USD")</f>
        <v>#N/A N/A</v>
      </c>
      <c r="AC47" s="1" t="s">
        <v>56</v>
      </c>
      <c r="AD47" s="1" t="s">
        <v>56</v>
      </c>
      <c r="AE47" s="1" t="s">
        <v>56</v>
      </c>
      <c r="AF47" s="1" t="s">
        <v>56</v>
      </c>
      <c r="AG47" s="1" t="s">
        <v>56</v>
      </c>
      <c r="AH47" s="1" t="s">
        <v>56</v>
      </c>
      <c r="AI47" s="1" t="s">
        <v>57</v>
      </c>
      <c r="AJ47" s="1" t="s">
        <v>57</v>
      </c>
      <c r="AK47" s="1" t="s">
        <v>56</v>
      </c>
      <c r="AL47" s="1" t="s">
        <v>57</v>
      </c>
      <c r="AM47" s="1" t="s">
        <v>57</v>
      </c>
      <c r="AN47" s="1" t="s">
        <v>56</v>
      </c>
      <c r="AO47" s="1" t="s">
        <v>338</v>
      </c>
      <c r="AP47" s="1" t="s">
        <v>57</v>
      </c>
      <c r="AQ47" s="1" t="s">
        <v>56</v>
      </c>
      <c r="AR47" s="1" t="s">
        <v>59</v>
      </c>
      <c r="AS47" s="1" t="s">
        <v>60</v>
      </c>
    </row>
    <row r="48" spans="1:45" x14ac:dyDescent="0.25">
      <c r="A48" s="1" t="s">
        <v>339</v>
      </c>
      <c r="B48" s="1" t="s">
        <v>340</v>
      </c>
      <c r="C48" s="1" t="s">
        <v>47</v>
      </c>
      <c r="D48" s="1" t="s">
        <v>48</v>
      </c>
      <c r="E48" s="1" t="s">
        <v>49</v>
      </c>
      <c r="F48" s="1" t="s">
        <v>49</v>
      </c>
      <c r="G48" s="1" t="s">
        <v>50</v>
      </c>
      <c r="H48" s="1" t="s">
        <v>51</v>
      </c>
      <c r="I48" s="1" t="s">
        <v>341</v>
      </c>
      <c r="J48" s="1" t="s">
        <v>342</v>
      </c>
      <c r="K48" s="1" t="s">
        <v>343</v>
      </c>
      <c r="L48" s="1" t="s">
        <v>55</v>
      </c>
      <c r="M48" s="1" t="s">
        <v>55</v>
      </c>
      <c r="N48" s="1" t="s">
        <v>55</v>
      </c>
      <c r="O48" s="1" t="s">
        <v>55</v>
      </c>
      <c r="P48" s="1" t="s">
        <v>55</v>
      </c>
      <c r="Q48" s="1" t="s">
        <v>55</v>
      </c>
      <c r="R48" s="1" t="s">
        <v>55</v>
      </c>
      <c r="S48" s="1" t="s">
        <v>55</v>
      </c>
      <c r="T48" s="1" t="s">
        <v>55</v>
      </c>
      <c r="U48" s="1" t="s">
        <v>55</v>
      </c>
      <c r="V48" s="1" t="s">
        <v>55</v>
      </c>
      <c r="W48" s="1" t="s">
        <v>55</v>
      </c>
      <c r="X48" s="1" t="s">
        <v>55</v>
      </c>
      <c r="Y48" s="1" t="s">
        <v>50</v>
      </c>
      <c r="Z48" t="str">
        <f>_xll.BDP($B48,"CUST_TRR_RETURN_HOLDING_PER","CUST_TRR_START_DT","20260401","CUST_TRR_END_DT","20260430","CUST_TRR_CRNCY","USD")</f>
        <v>#N/A N/A</v>
      </c>
      <c r="AA48" t="str">
        <f>_xll.BDP($B48,"CUST_TRR_RETURN_HOLDING_PER","CUST_TRR_START_DT","20260501","CUST_TRR_END_DT","20260531","CUST_TRR_CRNCY","USD")</f>
        <v>#N/A N/A</v>
      </c>
      <c r="AB48" t="str">
        <f>_xll.BDP($B48,"CUST_TRR_RETURN_HOLDING_PER","CUST_TRR_START_DT","20260601","CUST_TRR_END_DT","20260630","CUST_TRR_CRNCY","USD")</f>
        <v>#N/A N/A</v>
      </c>
      <c r="AC48" s="1" t="s">
        <v>56</v>
      </c>
      <c r="AD48" s="1" t="s">
        <v>56</v>
      </c>
      <c r="AE48" s="1" t="s">
        <v>56</v>
      </c>
      <c r="AF48" s="1" t="s">
        <v>56</v>
      </c>
      <c r="AG48" s="1" t="s">
        <v>56</v>
      </c>
      <c r="AH48" s="1" t="s">
        <v>56</v>
      </c>
      <c r="AI48" s="1" t="s">
        <v>57</v>
      </c>
      <c r="AJ48" s="1" t="s">
        <v>57</v>
      </c>
      <c r="AK48" s="1" t="s">
        <v>56</v>
      </c>
      <c r="AL48" s="1" t="s">
        <v>57</v>
      </c>
      <c r="AM48" s="1" t="s">
        <v>57</v>
      </c>
      <c r="AN48" s="1" t="s">
        <v>56</v>
      </c>
      <c r="AO48" s="1" t="s">
        <v>58</v>
      </c>
      <c r="AP48" s="1" t="s">
        <v>57</v>
      </c>
      <c r="AQ48" s="1" t="s">
        <v>56</v>
      </c>
      <c r="AR48" s="1" t="s">
        <v>59</v>
      </c>
      <c r="AS48" s="1" t="s">
        <v>60</v>
      </c>
    </row>
    <row r="49" spans="1:45" x14ac:dyDescent="0.25">
      <c r="A49" s="1" t="s">
        <v>344</v>
      </c>
      <c r="B49" s="1" t="s">
        <v>345</v>
      </c>
      <c r="C49" s="1" t="s">
        <v>47</v>
      </c>
      <c r="D49" s="1" t="s">
        <v>48</v>
      </c>
      <c r="E49" s="1" t="s">
        <v>49</v>
      </c>
      <c r="F49" s="1" t="s">
        <v>49</v>
      </c>
      <c r="G49" s="1" t="s">
        <v>50</v>
      </c>
      <c r="H49" s="1" t="s">
        <v>51</v>
      </c>
      <c r="I49" s="1" t="s">
        <v>346</v>
      </c>
      <c r="J49" s="1" t="s">
        <v>347</v>
      </c>
      <c r="K49" s="1" t="s">
        <v>348</v>
      </c>
      <c r="L49" s="1" t="s">
        <v>55</v>
      </c>
      <c r="M49" s="1" t="s">
        <v>55</v>
      </c>
      <c r="N49" s="1" t="s">
        <v>55</v>
      </c>
      <c r="O49" s="1" t="s">
        <v>55</v>
      </c>
      <c r="P49" s="1" t="s">
        <v>55</v>
      </c>
      <c r="Q49" s="1" t="s">
        <v>55</v>
      </c>
      <c r="R49" s="1" t="s">
        <v>55</v>
      </c>
      <c r="S49" s="1" t="s">
        <v>55</v>
      </c>
      <c r="T49" s="1" t="s">
        <v>55</v>
      </c>
      <c r="U49" s="1" t="s">
        <v>55</v>
      </c>
      <c r="V49" s="1" t="s">
        <v>55</v>
      </c>
      <c r="W49" s="1" t="s">
        <v>55</v>
      </c>
      <c r="X49" s="1" t="s">
        <v>55</v>
      </c>
      <c r="Y49" s="1" t="s">
        <v>50</v>
      </c>
      <c r="Z49" t="str">
        <f>_xll.BDP($B49,"CUST_TRR_RETURN_HOLDING_PER","CUST_TRR_START_DT","20260401","CUST_TRR_END_DT","20260430","CUST_TRR_CRNCY","USD")</f>
        <v>#N/A N/A</v>
      </c>
      <c r="AA49" t="str">
        <f>_xll.BDP($B49,"CUST_TRR_RETURN_HOLDING_PER","CUST_TRR_START_DT","20260501","CUST_TRR_END_DT","20260531","CUST_TRR_CRNCY","USD")</f>
        <v>#N/A N/A</v>
      </c>
      <c r="AB49" t="str">
        <f>_xll.BDP($B49,"CUST_TRR_RETURN_HOLDING_PER","CUST_TRR_START_DT","20260601","CUST_TRR_END_DT","20260630","CUST_TRR_CRNCY","USD")</f>
        <v>#N/A N/A</v>
      </c>
      <c r="AC49" s="1" t="s">
        <v>56</v>
      </c>
      <c r="AD49" s="1" t="s">
        <v>56</v>
      </c>
      <c r="AE49" s="1" t="s">
        <v>56</v>
      </c>
      <c r="AF49" s="1" t="s">
        <v>56</v>
      </c>
      <c r="AG49" s="1" t="s">
        <v>56</v>
      </c>
      <c r="AH49" s="1" t="s">
        <v>56</v>
      </c>
      <c r="AI49" s="1" t="s">
        <v>57</v>
      </c>
      <c r="AJ49" s="1" t="s">
        <v>57</v>
      </c>
      <c r="AK49" s="1" t="s">
        <v>56</v>
      </c>
      <c r="AL49" s="1" t="s">
        <v>57</v>
      </c>
      <c r="AM49" s="1" t="s">
        <v>57</v>
      </c>
      <c r="AN49" s="1" t="s">
        <v>56</v>
      </c>
      <c r="AO49" s="1" t="s">
        <v>349</v>
      </c>
      <c r="AP49" s="1" t="s">
        <v>350</v>
      </c>
      <c r="AQ49" s="1" t="s">
        <v>56</v>
      </c>
      <c r="AR49" s="1" t="s">
        <v>89</v>
      </c>
      <c r="AS49" s="1" t="s">
        <v>90</v>
      </c>
    </row>
    <row r="50" spans="1:45" x14ac:dyDescent="0.25">
      <c r="A50" s="1" t="s">
        <v>351</v>
      </c>
      <c r="B50" s="1" t="s">
        <v>352</v>
      </c>
      <c r="C50" s="1" t="s">
        <v>47</v>
      </c>
      <c r="D50" s="1" t="s">
        <v>48</v>
      </c>
      <c r="E50" s="1" t="s">
        <v>49</v>
      </c>
      <c r="F50" s="1" t="s">
        <v>49</v>
      </c>
      <c r="G50" s="1" t="s">
        <v>50</v>
      </c>
      <c r="H50" s="1" t="s">
        <v>51</v>
      </c>
      <c r="I50" s="1" t="s">
        <v>353</v>
      </c>
      <c r="J50" s="1" t="s">
        <v>57</v>
      </c>
      <c r="K50" s="1" t="s">
        <v>353</v>
      </c>
      <c r="L50" s="1" t="s">
        <v>55</v>
      </c>
      <c r="M50" s="1" t="s">
        <v>55</v>
      </c>
      <c r="N50" s="1" t="s">
        <v>55</v>
      </c>
      <c r="O50" s="1" t="s">
        <v>55</v>
      </c>
      <c r="P50" s="1" t="s">
        <v>55</v>
      </c>
      <c r="Q50" s="1" t="s">
        <v>55</v>
      </c>
      <c r="R50" s="1" t="s">
        <v>55</v>
      </c>
      <c r="S50" s="1" t="s">
        <v>55</v>
      </c>
      <c r="T50" s="1" t="s">
        <v>55</v>
      </c>
      <c r="U50" s="1" t="s">
        <v>55</v>
      </c>
      <c r="V50" s="1" t="s">
        <v>55</v>
      </c>
      <c r="W50" s="1" t="s">
        <v>55</v>
      </c>
      <c r="X50" s="1" t="s">
        <v>55</v>
      </c>
      <c r="Y50" s="1" t="s">
        <v>50</v>
      </c>
      <c r="Z50" t="str">
        <f>_xll.BDP($B50,"CUST_TRR_RETURN_HOLDING_PER","CUST_TRR_START_DT","20260401","CUST_TRR_END_DT","20260430","CUST_TRR_CRNCY","USD")</f>
        <v>#N/A N/A</v>
      </c>
      <c r="AA50">
        <f>_xll.BDP($B50,"CUST_TRR_RETURN_HOLDING_PER","CUST_TRR_START_DT","20260501","CUST_TRR_END_DT","20260531","CUST_TRR_CRNCY","USD")</f>
        <v>-0.16521159999999999</v>
      </c>
      <c r="AB50" t="str">
        <f>_xll.BDP($B50,"CUST_TRR_RETURN_HOLDING_PER","CUST_TRR_START_DT","20260601","CUST_TRR_END_DT","20260630","CUST_TRR_CRNCY","USD")</f>
        <v>#N/A N/A</v>
      </c>
      <c r="AC50" s="1" t="s">
        <v>56</v>
      </c>
      <c r="AD50" s="1" t="s">
        <v>56</v>
      </c>
      <c r="AE50" s="1" t="s">
        <v>56</v>
      </c>
      <c r="AF50" s="1" t="s">
        <v>56</v>
      </c>
      <c r="AG50" s="1" t="s">
        <v>56</v>
      </c>
      <c r="AH50" s="1" t="s">
        <v>56</v>
      </c>
      <c r="AI50" s="1" t="s">
        <v>57</v>
      </c>
      <c r="AJ50" s="1" t="s">
        <v>57</v>
      </c>
      <c r="AK50" s="1" t="s">
        <v>56</v>
      </c>
      <c r="AL50" s="1" t="s">
        <v>354</v>
      </c>
      <c r="AM50" s="1" t="s">
        <v>57</v>
      </c>
      <c r="AN50" s="1" t="s">
        <v>56</v>
      </c>
      <c r="AO50" s="1" t="s">
        <v>57</v>
      </c>
      <c r="AP50" s="1" t="s">
        <v>57</v>
      </c>
      <c r="AQ50" s="1" t="s">
        <v>56</v>
      </c>
      <c r="AR50" s="1" t="s">
        <v>59</v>
      </c>
      <c r="AS50" s="1" t="s">
        <v>60</v>
      </c>
    </row>
    <row r="51" spans="1:45" x14ac:dyDescent="0.25">
      <c r="A51" s="1" t="s">
        <v>355</v>
      </c>
      <c r="B51" s="1" t="s">
        <v>356</v>
      </c>
      <c r="C51" s="1" t="s">
        <v>47</v>
      </c>
      <c r="D51" s="1" t="s">
        <v>48</v>
      </c>
      <c r="E51" s="1" t="s">
        <v>49</v>
      </c>
      <c r="F51" s="1" t="s">
        <v>49</v>
      </c>
      <c r="G51" s="1" t="s">
        <v>50</v>
      </c>
      <c r="H51" s="1" t="s">
        <v>51</v>
      </c>
      <c r="I51" s="1" t="s">
        <v>357</v>
      </c>
      <c r="J51" s="1" t="s">
        <v>358</v>
      </c>
      <c r="K51" s="1" t="s">
        <v>359</v>
      </c>
      <c r="L51" s="1" t="s">
        <v>55</v>
      </c>
      <c r="M51" s="1" t="s">
        <v>55</v>
      </c>
      <c r="N51" s="1" t="s">
        <v>55</v>
      </c>
      <c r="O51" s="1" t="s">
        <v>55</v>
      </c>
      <c r="P51" s="1" t="s">
        <v>55</v>
      </c>
      <c r="Q51" s="1" t="s">
        <v>55</v>
      </c>
      <c r="R51" s="1" t="s">
        <v>55</v>
      </c>
      <c r="S51" s="1" t="s">
        <v>55</v>
      </c>
      <c r="T51" s="1" t="s">
        <v>55</v>
      </c>
      <c r="U51" s="1" t="s">
        <v>55</v>
      </c>
      <c r="V51" s="1" t="s">
        <v>55</v>
      </c>
      <c r="W51" s="1" t="s">
        <v>55</v>
      </c>
      <c r="X51" s="1" t="s">
        <v>55</v>
      </c>
      <c r="Y51" s="1" t="s">
        <v>50</v>
      </c>
      <c r="Z51" t="str">
        <f>_xll.BDP($B51,"CUST_TRR_RETURN_HOLDING_PER","CUST_TRR_START_DT","20260401","CUST_TRR_END_DT","20260430","CUST_TRR_CRNCY","USD")</f>
        <v>#N/A N/A</v>
      </c>
      <c r="AA51" t="str">
        <f>_xll.BDP($B51,"CUST_TRR_RETURN_HOLDING_PER","CUST_TRR_START_DT","20260501","CUST_TRR_END_DT","20260531","CUST_TRR_CRNCY","USD")</f>
        <v>#N/A N/A</v>
      </c>
      <c r="AB51" t="str">
        <f>_xll.BDP($B51,"CUST_TRR_RETURN_HOLDING_PER","CUST_TRR_START_DT","20260601","CUST_TRR_END_DT","20260630","CUST_TRR_CRNCY","USD")</f>
        <v>#N/A N/A</v>
      </c>
      <c r="AC51" s="1" t="s">
        <v>56</v>
      </c>
      <c r="AD51" s="1" t="s">
        <v>56</v>
      </c>
      <c r="AE51" s="1" t="s">
        <v>56</v>
      </c>
      <c r="AF51" s="1" t="s">
        <v>56</v>
      </c>
      <c r="AG51" s="1" t="s">
        <v>56</v>
      </c>
      <c r="AH51" s="1" t="s">
        <v>56</v>
      </c>
      <c r="AI51" s="1" t="s">
        <v>57</v>
      </c>
      <c r="AJ51" s="1" t="s">
        <v>57</v>
      </c>
      <c r="AK51" s="1" t="s">
        <v>56</v>
      </c>
      <c r="AL51" s="1" t="s">
        <v>57</v>
      </c>
      <c r="AM51" s="1" t="s">
        <v>57</v>
      </c>
      <c r="AN51" s="1" t="s">
        <v>56</v>
      </c>
      <c r="AO51" s="1" t="s">
        <v>58</v>
      </c>
      <c r="AP51" s="1" t="s">
        <v>57</v>
      </c>
      <c r="AQ51" s="1" t="s">
        <v>56</v>
      </c>
      <c r="AR51" s="1" t="s">
        <v>59</v>
      </c>
      <c r="AS51" s="1" t="s">
        <v>60</v>
      </c>
    </row>
    <row r="52" spans="1:45" x14ac:dyDescent="0.25">
      <c r="A52" s="1" t="s">
        <v>360</v>
      </c>
      <c r="B52" s="1" t="s">
        <v>361</v>
      </c>
      <c r="C52" s="1" t="s">
        <v>47</v>
      </c>
      <c r="D52" s="1" t="s">
        <v>48</v>
      </c>
      <c r="E52" s="1" t="s">
        <v>49</v>
      </c>
      <c r="F52" s="1" t="s">
        <v>49</v>
      </c>
      <c r="G52" s="1" t="s">
        <v>50</v>
      </c>
      <c r="H52" s="1" t="s">
        <v>51</v>
      </c>
      <c r="I52" s="1" t="s">
        <v>362</v>
      </c>
      <c r="J52" s="1" t="s">
        <v>363</v>
      </c>
      <c r="K52" s="1" t="s">
        <v>364</v>
      </c>
      <c r="L52" s="1" t="s">
        <v>55</v>
      </c>
      <c r="M52" s="1" t="s">
        <v>55</v>
      </c>
      <c r="N52" s="1" t="s">
        <v>55</v>
      </c>
      <c r="O52" s="1" t="s">
        <v>55</v>
      </c>
      <c r="P52" s="1" t="s">
        <v>55</v>
      </c>
      <c r="Q52" s="1" t="s">
        <v>55</v>
      </c>
      <c r="R52" s="1" t="s">
        <v>55</v>
      </c>
      <c r="S52" s="1" t="s">
        <v>55</v>
      </c>
      <c r="T52" s="1" t="s">
        <v>55</v>
      </c>
      <c r="U52" s="1" t="s">
        <v>55</v>
      </c>
      <c r="V52" s="1" t="s">
        <v>55</v>
      </c>
      <c r="W52" s="1" t="s">
        <v>55</v>
      </c>
      <c r="X52" s="1" t="s">
        <v>55</v>
      </c>
      <c r="Y52" s="1" t="s">
        <v>50</v>
      </c>
      <c r="Z52" t="str">
        <f>_xll.BDP($B52,"CUST_TRR_RETURN_HOLDING_PER","CUST_TRR_START_DT","20260401","CUST_TRR_END_DT","20260430","CUST_TRR_CRNCY","USD")</f>
        <v>#N/A N/A</v>
      </c>
      <c r="AA52">
        <f>_xll.BDP($B52,"CUST_TRR_RETURN_HOLDING_PER","CUST_TRR_START_DT","20260501","CUST_TRR_END_DT","20260531","CUST_TRR_CRNCY","USD")</f>
        <v>4.2738110000000002</v>
      </c>
      <c r="AB52" t="str">
        <f>_xll.BDP($B52,"CUST_TRR_RETURN_HOLDING_PER","CUST_TRR_START_DT","20260601","CUST_TRR_END_DT","20260630","CUST_TRR_CRNCY","USD")</f>
        <v>#N/A N/A</v>
      </c>
      <c r="AC52" s="1" t="s">
        <v>56</v>
      </c>
      <c r="AD52" s="1" t="s">
        <v>56</v>
      </c>
      <c r="AE52" s="1" t="s">
        <v>56</v>
      </c>
      <c r="AF52" s="1" t="s">
        <v>56</v>
      </c>
      <c r="AG52" s="1" t="s">
        <v>56</v>
      </c>
      <c r="AH52" s="1" t="s">
        <v>56</v>
      </c>
      <c r="AI52" s="1" t="s">
        <v>57</v>
      </c>
      <c r="AJ52" s="1" t="s">
        <v>57</v>
      </c>
      <c r="AK52" s="1" t="s">
        <v>56</v>
      </c>
      <c r="AL52" s="1" t="s">
        <v>365</v>
      </c>
      <c r="AM52" s="1" t="s">
        <v>57</v>
      </c>
      <c r="AN52" s="1" t="s">
        <v>56</v>
      </c>
      <c r="AO52" s="1" t="s">
        <v>57</v>
      </c>
      <c r="AP52" s="1" t="s">
        <v>57</v>
      </c>
      <c r="AQ52" s="1" t="s">
        <v>56</v>
      </c>
      <c r="AR52" s="1" t="s">
        <v>59</v>
      </c>
      <c r="AS52" s="1" t="s">
        <v>60</v>
      </c>
    </row>
    <row r="53" spans="1:45" x14ac:dyDescent="0.25">
      <c r="A53" s="1" t="s">
        <v>366</v>
      </c>
      <c r="B53" s="1" t="s">
        <v>367</v>
      </c>
      <c r="C53" s="1" t="s">
        <v>47</v>
      </c>
      <c r="D53" s="1" t="s">
        <v>48</v>
      </c>
      <c r="E53" s="1" t="s">
        <v>49</v>
      </c>
      <c r="F53" s="1" t="s">
        <v>49</v>
      </c>
      <c r="G53" s="1" t="s">
        <v>50</v>
      </c>
      <c r="H53" s="1" t="s">
        <v>51</v>
      </c>
      <c r="I53" s="1" t="s">
        <v>368</v>
      </c>
      <c r="J53" s="1" t="s">
        <v>369</v>
      </c>
      <c r="K53" s="1" t="s">
        <v>370</v>
      </c>
      <c r="L53" s="1" t="s">
        <v>55</v>
      </c>
      <c r="M53" s="1" t="s">
        <v>55</v>
      </c>
      <c r="N53" s="1" t="s">
        <v>55</v>
      </c>
      <c r="O53" s="1" t="s">
        <v>55</v>
      </c>
      <c r="P53" s="1" t="s">
        <v>55</v>
      </c>
      <c r="Q53" s="1" t="s">
        <v>55</v>
      </c>
      <c r="R53" s="1" t="s">
        <v>55</v>
      </c>
      <c r="S53" s="1" t="s">
        <v>55</v>
      </c>
      <c r="T53" s="1" t="s">
        <v>55</v>
      </c>
      <c r="U53" s="1" t="s">
        <v>55</v>
      </c>
      <c r="V53" s="1" t="s">
        <v>55</v>
      </c>
      <c r="W53" s="1" t="s">
        <v>55</v>
      </c>
      <c r="X53" s="1" t="s">
        <v>55</v>
      </c>
      <c r="Y53" s="1" t="s">
        <v>50</v>
      </c>
      <c r="Z53" t="str">
        <f>_xll.BDP($B53,"CUST_TRR_RETURN_HOLDING_PER","CUST_TRR_START_DT","20260401","CUST_TRR_END_DT","20260430","CUST_TRR_CRNCY","USD")</f>
        <v>#N/A N/A</v>
      </c>
      <c r="AA53" t="str">
        <f>_xll.BDP($B53,"CUST_TRR_RETURN_HOLDING_PER","CUST_TRR_START_DT","20260501","CUST_TRR_END_DT","20260531","CUST_TRR_CRNCY","USD")</f>
        <v>#N/A N/A</v>
      </c>
      <c r="AB53" t="str">
        <f>_xll.BDP($B53,"CUST_TRR_RETURN_HOLDING_PER","CUST_TRR_START_DT","20260601","CUST_TRR_END_DT","20260630","CUST_TRR_CRNCY","USD")</f>
        <v>#N/A N/A</v>
      </c>
      <c r="AC53" s="1" t="s">
        <v>56</v>
      </c>
      <c r="AD53" s="1" t="s">
        <v>56</v>
      </c>
      <c r="AE53" s="1" t="s">
        <v>56</v>
      </c>
      <c r="AF53" s="1" t="s">
        <v>56</v>
      </c>
      <c r="AG53" s="1" t="s">
        <v>56</v>
      </c>
      <c r="AH53" s="1" t="s">
        <v>56</v>
      </c>
      <c r="AI53" s="1" t="s">
        <v>57</v>
      </c>
      <c r="AJ53" s="1" t="s">
        <v>57</v>
      </c>
      <c r="AK53" s="1" t="s">
        <v>56</v>
      </c>
      <c r="AL53" s="1" t="s">
        <v>57</v>
      </c>
      <c r="AM53" s="1" t="s">
        <v>57</v>
      </c>
      <c r="AN53" s="1" t="s">
        <v>56</v>
      </c>
      <c r="AO53" s="1" t="s">
        <v>58</v>
      </c>
      <c r="AP53" s="1" t="s">
        <v>57</v>
      </c>
      <c r="AQ53" s="1" t="s">
        <v>56</v>
      </c>
      <c r="AR53" s="1" t="s">
        <v>59</v>
      </c>
      <c r="AS53" s="1" t="s">
        <v>60</v>
      </c>
    </row>
    <row r="54" spans="1:45" x14ac:dyDescent="0.25">
      <c r="A54" s="1" t="s">
        <v>371</v>
      </c>
      <c r="B54" s="1" t="s">
        <v>372</v>
      </c>
      <c r="C54" s="1" t="s">
        <v>47</v>
      </c>
      <c r="D54" s="1" t="s">
        <v>48</v>
      </c>
      <c r="E54" s="1" t="s">
        <v>49</v>
      </c>
      <c r="F54" s="1" t="s">
        <v>49</v>
      </c>
      <c r="G54" s="1" t="s">
        <v>50</v>
      </c>
      <c r="H54" s="1" t="s">
        <v>51</v>
      </c>
      <c r="I54" s="1" t="s">
        <v>373</v>
      </c>
      <c r="J54" s="1" t="s">
        <v>374</v>
      </c>
      <c r="K54" s="1" t="s">
        <v>375</v>
      </c>
      <c r="L54" s="1" t="s">
        <v>55</v>
      </c>
      <c r="M54" s="1" t="s">
        <v>55</v>
      </c>
      <c r="N54" s="1" t="s">
        <v>55</v>
      </c>
      <c r="O54" s="1" t="s">
        <v>55</v>
      </c>
      <c r="P54" s="1" t="s">
        <v>55</v>
      </c>
      <c r="Q54" s="1" t="s">
        <v>55</v>
      </c>
      <c r="R54" s="1" t="s">
        <v>55</v>
      </c>
      <c r="S54" s="1" t="s">
        <v>55</v>
      </c>
      <c r="T54" s="1" t="s">
        <v>55</v>
      </c>
      <c r="U54" s="1" t="s">
        <v>55</v>
      </c>
      <c r="V54" s="1" t="s">
        <v>55</v>
      </c>
      <c r="W54" s="1" t="s">
        <v>55</v>
      </c>
      <c r="X54" s="1" t="s">
        <v>55</v>
      </c>
      <c r="Y54" s="1" t="s">
        <v>50</v>
      </c>
      <c r="Z54" t="str">
        <f>_xll.BDP($B54,"CUST_TRR_RETURN_HOLDING_PER","CUST_TRR_START_DT","20260401","CUST_TRR_END_DT","20260430","CUST_TRR_CRNCY","USD")</f>
        <v>#N/A N/A</v>
      </c>
      <c r="AA54">
        <f>_xll.BDP($B54,"CUST_TRR_RETURN_HOLDING_PER","CUST_TRR_START_DT","20260501","CUST_TRR_END_DT","20260531","CUST_TRR_CRNCY","USD")</f>
        <v>2.508934</v>
      </c>
      <c r="AB54" t="str">
        <f>_xll.BDP($B54,"CUST_TRR_RETURN_HOLDING_PER","CUST_TRR_START_DT","20260601","CUST_TRR_END_DT","20260630","CUST_TRR_CRNCY","USD")</f>
        <v>#N/A N/A</v>
      </c>
      <c r="AC54" s="1" t="s">
        <v>56</v>
      </c>
      <c r="AD54" s="1" t="s">
        <v>56</v>
      </c>
      <c r="AE54" s="1" t="s">
        <v>56</v>
      </c>
      <c r="AF54" s="1" t="s">
        <v>56</v>
      </c>
      <c r="AG54" s="1" t="s">
        <v>56</v>
      </c>
      <c r="AH54" s="1" t="s">
        <v>56</v>
      </c>
      <c r="AI54" s="1" t="s">
        <v>169</v>
      </c>
      <c r="AJ54" s="1" t="s">
        <v>57</v>
      </c>
      <c r="AK54" s="1" t="s">
        <v>56</v>
      </c>
      <c r="AL54" s="1" t="s">
        <v>376</v>
      </c>
      <c r="AM54" s="1" t="s">
        <v>57</v>
      </c>
      <c r="AN54" s="1" t="s">
        <v>56</v>
      </c>
      <c r="AO54" s="1" t="s">
        <v>57</v>
      </c>
      <c r="AP54" s="1" t="s">
        <v>377</v>
      </c>
      <c r="AQ54" s="1" t="s">
        <v>56</v>
      </c>
      <c r="AR54" s="1" t="s">
        <v>173</v>
      </c>
      <c r="AS54" s="1" t="s">
        <v>174</v>
      </c>
    </row>
    <row r="55" spans="1:45" x14ac:dyDescent="0.25">
      <c r="A55" s="1" t="s">
        <v>378</v>
      </c>
      <c r="B55" s="1" t="s">
        <v>379</v>
      </c>
      <c r="C55" s="1" t="s">
        <v>47</v>
      </c>
      <c r="D55" s="1" t="s">
        <v>48</v>
      </c>
      <c r="E55" s="1" t="s">
        <v>49</v>
      </c>
      <c r="F55" s="1" t="s">
        <v>49</v>
      </c>
      <c r="G55" s="1" t="s">
        <v>50</v>
      </c>
      <c r="H55" s="1" t="s">
        <v>51</v>
      </c>
      <c r="I55" s="1" t="s">
        <v>380</v>
      </c>
      <c r="J55" s="1" t="s">
        <v>381</v>
      </c>
      <c r="K55" s="1" t="s">
        <v>382</v>
      </c>
      <c r="L55" s="1" t="s">
        <v>55</v>
      </c>
      <c r="M55" s="1" t="s">
        <v>55</v>
      </c>
      <c r="N55" s="1" t="s">
        <v>55</v>
      </c>
      <c r="O55" s="1" t="s">
        <v>55</v>
      </c>
      <c r="P55" s="1" t="s">
        <v>55</v>
      </c>
      <c r="Q55" s="1" t="s">
        <v>55</v>
      </c>
      <c r="R55" s="1" t="s">
        <v>55</v>
      </c>
      <c r="S55" s="1" t="s">
        <v>55</v>
      </c>
      <c r="T55" s="1" t="s">
        <v>55</v>
      </c>
      <c r="U55" s="1" t="s">
        <v>55</v>
      </c>
      <c r="V55" s="1" t="s">
        <v>55</v>
      </c>
      <c r="W55" s="1" t="s">
        <v>55</v>
      </c>
      <c r="X55" s="1" t="s">
        <v>55</v>
      </c>
      <c r="Y55" s="1" t="s">
        <v>50</v>
      </c>
      <c r="Z55" t="str">
        <f>_xll.BDP($B55,"CUST_TRR_RETURN_HOLDING_PER","CUST_TRR_START_DT","20260401","CUST_TRR_END_DT","20260430","CUST_TRR_CRNCY","USD")</f>
        <v>#N/A N/A</v>
      </c>
      <c r="AA55" t="str">
        <f>_xll.BDP($B55,"CUST_TRR_RETURN_HOLDING_PER","CUST_TRR_START_DT","20260501","CUST_TRR_END_DT","20260531","CUST_TRR_CRNCY","USD")</f>
        <v>#N/A N/A</v>
      </c>
      <c r="AB55" t="str">
        <f>_xll.BDP($B55,"CUST_TRR_RETURN_HOLDING_PER","CUST_TRR_START_DT","20260601","CUST_TRR_END_DT","20260630","CUST_TRR_CRNCY","USD")</f>
        <v>#N/A N/A</v>
      </c>
      <c r="AC55" s="1" t="s">
        <v>56</v>
      </c>
      <c r="AD55" s="1" t="s">
        <v>56</v>
      </c>
      <c r="AE55" s="1" t="s">
        <v>56</v>
      </c>
      <c r="AF55" s="1" t="s">
        <v>56</v>
      </c>
      <c r="AG55" s="1" t="s">
        <v>56</v>
      </c>
      <c r="AH55" s="1" t="s">
        <v>56</v>
      </c>
      <c r="AI55" s="1" t="s">
        <v>57</v>
      </c>
      <c r="AJ55" s="1" t="s">
        <v>57</v>
      </c>
      <c r="AK55" s="1" t="s">
        <v>56</v>
      </c>
      <c r="AL55" s="1" t="s">
        <v>57</v>
      </c>
      <c r="AM55" s="1" t="s">
        <v>57</v>
      </c>
      <c r="AN55" s="1" t="s">
        <v>56</v>
      </c>
      <c r="AO55" s="1" t="s">
        <v>383</v>
      </c>
      <c r="AP55" s="1" t="s">
        <v>384</v>
      </c>
      <c r="AQ55" s="1" t="s">
        <v>56</v>
      </c>
      <c r="AR55" s="1" t="s">
        <v>56</v>
      </c>
      <c r="AS55" s="1" t="s">
        <v>56</v>
      </c>
    </row>
    <row r="56" spans="1:45" x14ac:dyDescent="0.25">
      <c r="A56" s="1" t="s">
        <v>385</v>
      </c>
      <c r="B56" s="1" t="s">
        <v>386</v>
      </c>
      <c r="C56" s="1" t="s">
        <v>47</v>
      </c>
      <c r="D56" s="1" t="s">
        <v>48</v>
      </c>
      <c r="E56" s="1" t="s">
        <v>49</v>
      </c>
      <c r="F56" s="1" t="s">
        <v>49</v>
      </c>
      <c r="G56" s="1" t="s">
        <v>50</v>
      </c>
      <c r="H56" s="1" t="s">
        <v>51</v>
      </c>
      <c r="I56" s="1" t="s">
        <v>387</v>
      </c>
      <c r="J56" s="1" t="s">
        <v>388</v>
      </c>
      <c r="K56" s="1" t="s">
        <v>389</v>
      </c>
      <c r="L56" s="1" t="s">
        <v>55</v>
      </c>
      <c r="M56" s="1" t="s">
        <v>55</v>
      </c>
      <c r="N56" s="1" t="s">
        <v>55</v>
      </c>
      <c r="O56" s="1" t="s">
        <v>55</v>
      </c>
      <c r="P56" s="1" t="s">
        <v>55</v>
      </c>
      <c r="Q56" s="1" t="s">
        <v>55</v>
      </c>
      <c r="R56" s="1" t="s">
        <v>55</v>
      </c>
      <c r="S56" s="1" t="s">
        <v>55</v>
      </c>
      <c r="T56" s="1" t="s">
        <v>55</v>
      </c>
      <c r="U56" s="1" t="s">
        <v>55</v>
      </c>
      <c r="V56" s="1" t="s">
        <v>55</v>
      </c>
      <c r="W56" s="1" t="s">
        <v>55</v>
      </c>
      <c r="X56" s="1" t="s">
        <v>55</v>
      </c>
      <c r="Y56" s="1" t="s">
        <v>50</v>
      </c>
      <c r="Z56" t="str">
        <f>_xll.BDP($B56,"CUST_TRR_RETURN_HOLDING_PER","CUST_TRR_START_DT","20260401","CUST_TRR_END_DT","20260430","CUST_TRR_CRNCY","USD")</f>
        <v>#N/A N/A</v>
      </c>
      <c r="AA56" t="str">
        <f>_xll.BDP($B56,"CUST_TRR_RETURN_HOLDING_PER","CUST_TRR_START_DT","20260501","CUST_TRR_END_DT","20260531","CUST_TRR_CRNCY","USD")</f>
        <v>#N/A N/A</v>
      </c>
      <c r="AB56" t="str">
        <f>_xll.BDP($B56,"CUST_TRR_RETURN_HOLDING_PER","CUST_TRR_START_DT","20260601","CUST_TRR_END_DT","20260630","CUST_TRR_CRNCY","USD")</f>
        <v>#N/A N/A</v>
      </c>
      <c r="AC56" s="1" t="s">
        <v>56</v>
      </c>
      <c r="AD56" s="1" t="s">
        <v>56</v>
      </c>
      <c r="AE56" s="1" t="s">
        <v>56</v>
      </c>
      <c r="AF56" s="1" t="s">
        <v>56</v>
      </c>
      <c r="AG56" s="1" t="s">
        <v>56</v>
      </c>
      <c r="AH56" s="1" t="s">
        <v>56</v>
      </c>
      <c r="AI56" s="1" t="s">
        <v>57</v>
      </c>
      <c r="AJ56" s="1" t="s">
        <v>57</v>
      </c>
      <c r="AK56" s="1" t="s">
        <v>56</v>
      </c>
      <c r="AL56" s="1" t="s">
        <v>57</v>
      </c>
      <c r="AM56" s="1" t="s">
        <v>57</v>
      </c>
      <c r="AN56" s="1" t="s">
        <v>56</v>
      </c>
      <c r="AO56" s="1" t="s">
        <v>58</v>
      </c>
      <c r="AP56" s="1" t="s">
        <v>57</v>
      </c>
      <c r="AQ56" s="1" t="s">
        <v>56</v>
      </c>
      <c r="AR56" s="1" t="s">
        <v>59</v>
      </c>
      <c r="AS56" s="1" t="s">
        <v>60</v>
      </c>
    </row>
    <row r="57" spans="1:45" x14ac:dyDescent="0.25">
      <c r="A57" s="1" t="s">
        <v>390</v>
      </c>
      <c r="B57" s="1" t="s">
        <v>391</v>
      </c>
      <c r="C57" s="1" t="s">
        <v>47</v>
      </c>
      <c r="D57" s="1" t="s">
        <v>48</v>
      </c>
      <c r="E57" s="1" t="s">
        <v>49</v>
      </c>
      <c r="F57" s="1" t="s">
        <v>49</v>
      </c>
      <c r="G57" s="1" t="s">
        <v>50</v>
      </c>
      <c r="H57" s="1" t="s">
        <v>51</v>
      </c>
      <c r="I57" s="1" t="s">
        <v>392</v>
      </c>
      <c r="J57" s="1" t="s">
        <v>393</v>
      </c>
      <c r="K57" s="1" t="s">
        <v>394</v>
      </c>
      <c r="L57" s="1" t="s">
        <v>55</v>
      </c>
      <c r="M57" s="1" t="s">
        <v>55</v>
      </c>
      <c r="N57" s="1" t="s">
        <v>55</v>
      </c>
      <c r="O57" s="1" t="s">
        <v>55</v>
      </c>
      <c r="P57" s="1" t="s">
        <v>55</v>
      </c>
      <c r="Q57" s="1" t="s">
        <v>55</v>
      </c>
      <c r="R57" s="1" t="s">
        <v>55</v>
      </c>
      <c r="S57" s="1" t="s">
        <v>55</v>
      </c>
      <c r="T57" s="1" t="s">
        <v>55</v>
      </c>
      <c r="U57" s="1" t="s">
        <v>55</v>
      </c>
      <c r="V57" s="1" t="s">
        <v>55</v>
      </c>
      <c r="W57" s="1" t="s">
        <v>55</v>
      </c>
      <c r="X57" s="1" t="s">
        <v>55</v>
      </c>
      <c r="Y57" s="1" t="s">
        <v>50</v>
      </c>
      <c r="Z57" t="str">
        <f>_xll.BDP($B57,"CUST_TRR_RETURN_HOLDING_PER","CUST_TRR_START_DT","20260401","CUST_TRR_END_DT","20260430","CUST_TRR_CRNCY","USD")</f>
        <v>#N/A N/A</v>
      </c>
      <c r="AA57" t="str">
        <f>_xll.BDP($B57,"CUST_TRR_RETURN_HOLDING_PER","CUST_TRR_START_DT","20260501","CUST_TRR_END_DT","20260531","CUST_TRR_CRNCY","USD")</f>
        <v>#N/A N/A</v>
      </c>
      <c r="AB57" t="str">
        <f>_xll.BDP($B57,"CUST_TRR_RETURN_HOLDING_PER","CUST_TRR_START_DT","20260601","CUST_TRR_END_DT","20260630","CUST_TRR_CRNCY","USD")</f>
        <v>#N/A N/A</v>
      </c>
      <c r="AC57" s="1" t="s">
        <v>56</v>
      </c>
      <c r="AD57" s="1" t="s">
        <v>56</v>
      </c>
      <c r="AE57" s="1" t="s">
        <v>56</v>
      </c>
      <c r="AF57" s="1" t="s">
        <v>56</v>
      </c>
      <c r="AG57" s="1" t="s">
        <v>56</v>
      </c>
      <c r="AH57" s="1" t="s">
        <v>56</v>
      </c>
      <c r="AI57" s="1" t="s">
        <v>57</v>
      </c>
      <c r="AJ57" s="1" t="s">
        <v>57</v>
      </c>
      <c r="AK57" s="1" t="s">
        <v>56</v>
      </c>
      <c r="AL57" s="1" t="s">
        <v>57</v>
      </c>
      <c r="AM57" s="1" t="s">
        <v>57</v>
      </c>
      <c r="AN57" s="1" t="s">
        <v>56</v>
      </c>
      <c r="AO57" s="1" t="s">
        <v>58</v>
      </c>
      <c r="AP57" s="1" t="s">
        <v>57</v>
      </c>
      <c r="AQ57" s="1" t="s">
        <v>56</v>
      </c>
      <c r="AR57" s="1" t="s">
        <v>59</v>
      </c>
      <c r="AS57" s="1" t="s">
        <v>60</v>
      </c>
    </row>
    <row r="58" spans="1:45" x14ac:dyDescent="0.25">
      <c r="A58" s="1" t="s">
        <v>395</v>
      </c>
      <c r="B58" s="1" t="s">
        <v>396</v>
      </c>
      <c r="C58" s="1" t="s">
        <v>47</v>
      </c>
      <c r="D58" s="1" t="s">
        <v>48</v>
      </c>
      <c r="E58" s="1" t="s">
        <v>49</v>
      </c>
      <c r="F58" s="1" t="s">
        <v>49</v>
      </c>
      <c r="G58" s="1" t="s">
        <v>50</v>
      </c>
      <c r="H58" s="1" t="s">
        <v>51</v>
      </c>
      <c r="I58" s="1" t="s">
        <v>397</v>
      </c>
      <c r="J58" s="1" t="s">
        <v>398</v>
      </c>
      <c r="K58" s="1" t="s">
        <v>399</v>
      </c>
      <c r="L58" s="1" t="s">
        <v>55</v>
      </c>
      <c r="M58" s="1" t="s">
        <v>55</v>
      </c>
      <c r="N58" s="1" t="s">
        <v>55</v>
      </c>
      <c r="O58" s="1" t="s">
        <v>55</v>
      </c>
      <c r="P58" s="1" t="s">
        <v>55</v>
      </c>
      <c r="Q58" s="1" t="s">
        <v>55</v>
      </c>
      <c r="R58" s="1" t="s">
        <v>55</v>
      </c>
      <c r="S58" s="1" t="s">
        <v>55</v>
      </c>
      <c r="T58" s="1" t="s">
        <v>55</v>
      </c>
      <c r="U58" s="1" t="s">
        <v>55</v>
      </c>
      <c r="V58" s="1" t="s">
        <v>55</v>
      </c>
      <c r="W58" s="1" t="s">
        <v>55</v>
      </c>
      <c r="X58" s="1" t="s">
        <v>55</v>
      </c>
      <c r="Y58" s="1" t="s">
        <v>50</v>
      </c>
      <c r="Z58" t="str">
        <f>_xll.BDP($B58,"CUST_TRR_RETURN_HOLDING_PER","CUST_TRR_START_DT","20260401","CUST_TRR_END_DT","20260430","CUST_TRR_CRNCY","USD")</f>
        <v>#N/A N/A</v>
      </c>
      <c r="AA58">
        <f>_xll.BDP($B58,"CUST_TRR_RETURN_HOLDING_PER","CUST_TRR_START_DT","20260501","CUST_TRR_END_DT","20260531","CUST_TRR_CRNCY","USD")</f>
        <v>1.5693459999999999</v>
      </c>
      <c r="AB58" t="str">
        <f>_xll.BDP($B58,"CUST_TRR_RETURN_HOLDING_PER","CUST_TRR_START_DT","20260601","CUST_TRR_END_DT","20260630","CUST_TRR_CRNCY","USD")</f>
        <v>#N/A N/A</v>
      </c>
      <c r="AC58" s="1" t="s">
        <v>56</v>
      </c>
      <c r="AD58" s="1" t="s">
        <v>56</v>
      </c>
      <c r="AE58" s="1" t="s">
        <v>56</v>
      </c>
      <c r="AF58" s="1" t="s">
        <v>56</v>
      </c>
      <c r="AG58" s="1" t="s">
        <v>56</v>
      </c>
      <c r="AH58" s="1" t="s">
        <v>56</v>
      </c>
      <c r="AI58" s="1" t="s">
        <v>57</v>
      </c>
      <c r="AJ58" s="1" t="s">
        <v>57</v>
      </c>
      <c r="AK58" s="1" t="s">
        <v>56</v>
      </c>
      <c r="AL58" s="1" t="s">
        <v>400</v>
      </c>
      <c r="AM58" s="1" t="s">
        <v>57</v>
      </c>
      <c r="AN58" s="1" t="s">
        <v>56</v>
      </c>
      <c r="AO58" s="1" t="s">
        <v>57</v>
      </c>
      <c r="AP58" s="1" t="s">
        <v>401</v>
      </c>
      <c r="AQ58" s="1" t="s">
        <v>56</v>
      </c>
      <c r="AR58" s="1" t="s">
        <v>59</v>
      </c>
      <c r="AS58" s="1" t="s">
        <v>60</v>
      </c>
    </row>
    <row r="59" spans="1:45" x14ac:dyDescent="0.25">
      <c r="A59" s="1" t="s">
        <v>402</v>
      </c>
      <c r="B59" s="1" t="s">
        <v>403</v>
      </c>
      <c r="C59" s="1" t="s">
        <v>47</v>
      </c>
      <c r="D59" s="1" t="s">
        <v>48</v>
      </c>
      <c r="E59" s="1" t="s">
        <v>49</v>
      </c>
      <c r="F59" s="1" t="s">
        <v>49</v>
      </c>
      <c r="G59" s="1" t="s">
        <v>50</v>
      </c>
      <c r="H59" s="1" t="s">
        <v>51</v>
      </c>
      <c r="I59" s="1" t="s">
        <v>404</v>
      </c>
      <c r="J59" s="1" t="s">
        <v>57</v>
      </c>
      <c r="K59" s="1" t="s">
        <v>404</v>
      </c>
      <c r="L59" s="1" t="s">
        <v>55</v>
      </c>
      <c r="M59" s="1" t="s">
        <v>55</v>
      </c>
      <c r="N59" s="1" t="s">
        <v>55</v>
      </c>
      <c r="O59" s="1" t="s">
        <v>55</v>
      </c>
      <c r="P59" s="1" t="s">
        <v>55</v>
      </c>
      <c r="Q59" s="1" t="s">
        <v>55</v>
      </c>
      <c r="R59" s="1" t="s">
        <v>55</v>
      </c>
      <c r="S59" s="1" t="s">
        <v>55</v>
      </c>
      <c r="T59" s="1" t="s">
        <v>55</v>
      </c>
      <c r="U59" s="1" t="s">
        <v>55</v>
      </c>
      <c r="V59" s="1" t="s">
        <v>55</v>
      </c>
      <c r="W59" s="1" t="s">
        <v>55</v>
      </c>
      <c r="X59" s="1" t="s">
        <v>55</v>
      </c>
      <c r="Y59" s="1" t="s">
        <v>50</v>
      </c>
      <c r="Z59" t="str">
        <f>_xll.BDP($B59,"CUST_TRR_RETURN_HOLDING_PER","CUST_TRR_START_DT","20260401","CUST_TRR_END_DT","20260430","CUST_TRR_CRNCY","USD")</f>
        <v>#N/A N/A</v>
      </c>
      <c r="AA59">
        <f>_xll.BDP($B59,"CUST_TRR_RETURN_HOLDING_PER","CUST_TRR_START_DT","20260501","CUST_TRR_END_DT","20260531","CUST_TRR_CRNCY","USD")</f>
        <v>0.2421586</v>
      </c>
      <c r="AB59" t="str">
        <f>_xll.BDP($B59,"CUST_TRR_RETURN_HOLDING_PER","CUST_TRR_START_DT","20260601","CUST_TRR_END_DT","20260630","CUST_TRR_CRNCY","USD")</f>
        <v>#N/A N/A</v>
      </c>
      <c r="AC59" s="1" t="s">
        <v>56</v>
      </c>
      <c r="AD59" s="1" t="s">
        <v>56</v>
      </c>
      <c r="AE59" s="1" t="s">
        <v>56</v>
      </c>
      <c r="AF59" s="1" t="s">
        <v>56</v>
      </c>
      <c r="AG59" s="1" t="s">
        <v>56</v>
      </c>
      <c r="AH59" s="1" t="s">
        <v>56</v>
      </c>
      <c r="AI59" s="1" t="s">
        <v>57</v>
      </c>
      <c r="AJ59" s="1" t="s">
        <v>57</v>
      </c>
      <c r="AK59" s="1" t="s">
        <v>56</v>
      </c>
      <c r="AL59" s="1" t="s">
        <v>405</v>
      </c>
      <c r="AM59" s="1" t="s">
        <v>57</v>
      </c>
      <c r="AN59" s="1" t="s">
        <v>56</v>
      </c>
      <c r="AO59" s="1" t="s">
        <v>57</v>
      </c>
      <c r="AP59" s="1" t="s">
        <v>406</v>
      </c>
      <c r="AQ59" s="1" t="s">
        <v>56</v>
      </c>
      <c r="AR59" s="1" t="s">
        <v>59</v>
      </c>
      <c r="AS59" s="1" t="s">
        <v>60</v>
      </c>
    </row>
    <row r="60" spans="1:45" x14ac:dyDescent="0.25">
      <c r="A60" s="1" t="s">
        <v>407</v>
      </c>
      <c r="B60" s="1" t="s">
        <v>408</v>
      </c>
      <c r="C60" s="1" t="s">
        <v>47</v>
      </c>
      <c r="D60" s="1" t="s">
        <v>48</v>
      </c>
      <c r="E60" s="1" t="s">
        <v>49</v>
      </c>
      <c r="F60" s="1" t="s">
        <v>49</v>
      </c>
      <c r="G60" s="1" t="s">
        <v>50</v>
      </c>
      <c r="H60" s="1" t="s">
        <v>51</v>
      </c>
      <c r="I60" s="1" t="s">
        <v>409</v>
      </c>
      <c r="J60" s="1" t="s">
        <v>410</v>
      </c>
      <c r="K60" s="1" t="s">
        <v>411</v>
      </c>
      <c r="L60" s="1" t="s">
        <v>55</v>
      </c>
      <c r="M60" s="1" t="s">
        <v>55</v>
      </c>
      <c r="N60" s="1" t="s">
        <v>55</v>
      </c>
      <c r="O60" s="1" t="s">
        <v>55</v>
      </c>
      <c r="P60" s="1" t="s">
        <v>55</v>
      </c>
      <c r="Q60" s="1" t="s">
        <v>55</v>
      </c>
      <c r="R60" s="1" t="s">
        <v>55</v>
      </c>
      <c r="S60" s="1" t="s">
        <v>55</v>
      </c>
      <c r="T60" s="1" t="s">
        <v>55</v>
      </c>
      <c r="U60" s="1" t="s">
        <v>55</v>
      </c>
      <c r="V60" s="1" t="s">
        <v>55</v>
      </c>
      <c r="W60" s="1" t="s">
        <v>55</v>
      </c>
      <c r="X60" s="1" t="s">
        <v>55</v>
      </c>
      <c r="Y60" s="1" t="s">
        <v>50</v>
      </c>
      <c r="Z60" t="str">
        <f>_xll.BDP($B60,"CUST_TRR_RETURN_HOLDING_PER","CUST_TRR_START_DT","20260401","CUST_TRR_END_DT","20260430","CUST_TRR_CRNCY","USD")</f>
        <v>#N/A N/A</v>
      </c>
      <c r="AA60" t="str">
        <f>_xll.BDP($B60,"CUST_TRR_RETURN_HOLDING_PER","CUST_TRR_START_DT","20260501","CUST_TRR_END_DT","20260531","CUST_TRR_CRNCY","USD")</f>
        <v>#N/A N/A</v>
      </c>
      <c r="AB60" t="str">
        <f>_xll.BDP($B60,"CUST_TRR_RETURN_HOLDING_PER","CUST_TRR_START_DT","20260601","CUST_TRR_END_DT","20260630","CUST_TRR_CRNCY","USD")</f>
        <v>#N/A N/A</v>
      </c>
      <c r="AC60" s="1" t="s">
        <v>56</v>
      </c>
      <c r="AD60" s="1" t="s">
        <v>56</v>
      </c>
      <c r="AE60" s="1" t="s">
        <v>56</v>
      </c>
      <c r="AF60" s="1" t="s">
        <v>56</v>
      </c>
      <c r="AG60" s="1" t="s">
        <v>56</v>
      </c>
      <c r="AH60" s="1" t="s">
        <v>56</v>
      </c>
      <c r="AI60" s="1" t="s">
        <v>57</v>
      </c>
      <c r="AJ60" s="1" t="s">
        <v>57</v>
      </c>
      <c r="AK60" s="1" t="s">
        <v>56</v>
      </c>
      <c r="AL60" s="1" t="s">
        <v>57</v>
      </c>
      <c r="AM60" s="1" t="s">
        <v>57</v>
      </c>
      <c r="AN60" s="1" t="s">
        <v>56</v>
      </c>
      <c r="AO60" s="1" t="s">
        <v>58</v>
      </c>
      <c r="AP60" s="1" t="s">
        <v>57</v>
      </c>
      <c r="AQ60" s="1" t="s">
        <v>56</v>
      </c>
      <c r="AR60" s="1" t="s">
        <v>59</v>
      </c>
      <c r="AS60" s="1" t="s">
        <v>60</v>
      </c>
    </row>
    <row r="61" spans="1:45" x14ac:dyDescent="0.25">
      <c r="A61" s="1" t="s">
        <v>412</v>
      </c>
      <c r="B61" s="1" t="s">
        <v>413</v>
      </c>
      <c r="C61" s="1" t="s">
        <v>47</v>
      </c>
      <c r="D61" s="1" t="s">
        <v>48</v>
      </c>
      <c r="E61" s="1" t="s">
        <v>49</v>
      </c>
      <c r="F61" s="1" t="s">
        <v>49</v>
      </c>
      <c r="G61" s="1" t="s">
        <v>50</v>
      </c>
      <c r="H61" s="1" t="s">
        <v>51</v>
      </c>
      <c r="I61" s="1" t="s">
        <v>414</v>
      </c>
      <c r="J61" s="1" t="s">
        <v>415</v>
      </c>
      <c r="K61" s="1" t="s">
        <v>416</v>
      </c>
      <c r="L61" s="1" t="s">
        <v>55</v>
      </c>
      <c r="M61" s="1" t="s">
        <v>55</v>
      </c>
      <c r="N61" s="1" t="s">
        <v>55</v>
      </c>
      <c r="O61" s="1" t="s">
        <v>55</v>
      </c>
      <c r="P61" s="1" t="s">
        <v>55</v>
      </c>
      <c r="Q61" s="1" t="s">
        <v>55</v>
      </c>
      <c r="R61" s="1" t="s">
        <v>55</v>
      </c>
      <c r="S61" s="1" t="s">
        <v>55</v>
      </c>
      <c r="T61" s="1" t="s">
        <v>55</v>
      </c>
      <c r="U61" s="1" t="s">
        <v>55</v>
      </c>
      <c r="V61" s="1" t="s">
        <v>55</v>
      </c>
      <c r="W61" s="1" t="s">
        <v>55</v>
      </c>
      <c r="X61" s="1" t="s">
        <v>55</v>
      </c>
      <c r="Y61" s="1" t="s">
        <v>50</v>
      </c>
      <c r="Z61" t="str">
        <f>_xll.BDP($B61,"CUST_TRR_RETURN_HOLDING_PER","CUST_TRR_START_DT","20260401","CUST_TRR_END_DT","20260430","CUST_TRR_CRNCY","USD")</f>
        <v>#N/A N/A</v>
      </c>
      <c r="AA61" t="str">
        <f>_xll.BDP($B61,"CUST_TRR_RETURN_HOLDING_PER","CUST_TRR_START_DT","20260501","CUST_TRR_END_DT","20260531","CUST_TRR_CRNCY","USD")</f>
        <v>#N/A N/A</v>
      </c>
      <c r="AB61" t="str">
        <f>_xll.BDP($B61,"CUST_TRR_RETURN_HOLDING_PER","CUST_TRR_START_DT","20260601","CUST_TRR_END_DT","20260630","CUST_TRR_CRNCY","USD")</f>
        <v>#N/A N/A</v>
      </c>
      <c r="AC61" s="1" t="s">
        <v>56</v>
      </c>
      <c r="AD61" s="1" t="s">
        <v>56</v>
      </c>
      <c r="AE61" s="1" t="s">
        <v>56</v>
      </c>
      <c r="AF61" s="1" t="s">
        <v>56</v>
      </c>
      <c r="AG61" s="1" t="s">
        <v>56</v>
      </c>
      <c r="AH61" s="1" t="s">
        <v>56</v>
      </c>
      <c r="AI61" s="1" t="s">
        <v>57</v>
      </c>
      <c r="AJ61" s="1" t="s">
        <v>57</v>
      </c>
      <c r="AK61" s="1" t="s">
        <v>56</v>
      </c>
      <c r="AL61" s="1" t="s">
        <v>57</v>
      </c>
      <c r="AM61" s="1" t="s">
        <v>57</v>
      </c>
      <c r="AN61" s="1" t="s">
        <v>56</v>
      </c>
      <c r="AO61" s="1" t="s">
        <v>417</v>
      </c>
      <c r="AP61" s="1" t="s">
        <v>418</v>
      </c>
      <c r="AQ61" s="1" t="s">
        <v>56</v>
      </c>
      <c r="AR61" s="1" t="s">
        <v>59</v>
      </c>
      <c r="AS61" s="1" t="s">
        <v>60</v>
      </c>
    </row>
    <row r="62" spans="1:45" x14ac:dyDescent="0.25">
      <c r="A62" s="1" t="s">
        <v>419</v>
      </c>
      <c r="B62" s="1" t="s">
        <v>420</v>
      </c>
      <c r="C62" s="1" t="s">
        <v>47</v>
      </c>
      <c r="D62" s="1" t="s">
        <v>48</v>
      </c>
      <c r="E62" s="1" t="s">
        <v>49</v>
      </c>
      <c r="F62" s="1" t="s">
        <v>49</v>
      </c>
      <c r="G62" s="1" t="s">
        <v>50</v>
      </c>
      <c r="H62" s="1" t="s">
        <v>51</v>
      </c>
      <c r="I62" s="1" t="s">
        <v>421</v>
      </c>
      <c r="J62" s="1" t="s">
        <v>57</v>
      </c>
      <c r="K62" s="1" t="s">
        <v>421</v>
      </c>
      <c r="L62" s="1" t="s">
        <v>55</v>
      </c>
      <c r="M62" s="1" t="s">
        <v>55</v>
      </c>
      <c r="N62" s="1" t="s">
        <v>55</v>
      </c>
      <c r="O62" s="1" t="s">
        <v>55</v>
      </c>
      <c r="P62" s="1" t="s">
        <v>55</v>
      </c>
      <c r="Q62" s="1" t="s">
        <v>55</v>
      </c>
      <c r="R62" s="1" t="s">
        <v>55</v>
      </c>
      <c r="S62" s="1" t="s">
        <v>55</v>
      </c>
      <c r="T62" s="1" t="s">
        <v>55</v>
      </c>
      <c r="U62" s="1" t="s">
        <v>55</v>
      </c>
      <c r="V62" s="1" t="s">
        <v>55</v>
      </c>
      <c r="W62" s="1" t="s">
        <v>55</v>
      </c>
      <c r="X62" s="1" t="s">
        <v>55</v>
      </c>
      <c r="Y62" s="1" t="s">
        <v>50</v>
      </c>
      <c r="Z62" t="str">
        <f>_xll.BDP($B62,"CUST_TRR_RETURN_HOLDING_PER","CUST_TRR_START_DT","20260401","CUST_TRR_END_DT","20260430","CUST_TRR_CRNCY","USD")</f>
        <v>#N/A N/A</v>
      </c>
      <c r="AA62">
        <f>_xll.BDP($B62,"CUST_TRR_RETURN_HOLDING_PER","CUST_TRR_START_DT","20260501","CUST_TRR_END_DT","20260531","CUST_TRR_CRNCY","USD")</f>
        <v>6.0954170000000003</v>
      </c>
      <c r="AB62" t="str">
        <f>_xll.BDP($B62,"CUST_TRR_RETURN_HOLDING_PER","CUST_TRR_START_DT","20260601","CUST_TRR_END_DT","20260630","CUST_TRR_CRNCY","USD")</f>
        <v>#N/A N/A</v>
      </c>
      <c r="AC62" s="1" t="s">
        <v>56</v>
      </c>
      <c r="AD62" s="1" t="s">
        <v>56</v>
      </c>
      <c r="AE62" s="1" t="s">
        <v>56</v>
      </c>
      <c r="AF62" s="1" t="s">
        <v>56</v>
      </c>
      <c r="AG62" s="1" t="s">
        <v>56</v>
      </c>
      <c r="AH62" s="1" t="s">
        <v>56</v>
      </c>
      <c r="AI62" s="1" t="s">
        <v>57</v>
      </c>
      <c r="AJ62" s="1" t="s">
        <v>57</v>
      </c>
      <c r="AK62" s="1" t="s">
        <v>56</v>
      </c>
      <c r="AL62" s="1" t="s">
        <v>422</v>
      </c>
      <c r="AM62" s="1" t="s">
        <v>57</v>
      </c>
      <c r="AN62" s="1" t="s">
        <v>56</v>
      </c>
      <c r="AO62" s="1" t="s">
        <v>57</v>
      </c>
      <c r="AP62" s="1" t="s">
        <v>57</v>
      </c>
      <c r="AQ62" s="1" t="s">
        <v>56</v>
      </c>
      <c r="AR62" s="1" t="s">
        <v>59</v>
      </c>
      <c r="AS62" s="1" t="s">
        <v>60</v>
      </c>
    </row>
    <row r="63" spans="1:45" x14ac:dyDescent="0.25">
      <c r="A63" s="1" t="s">
        <v>423</v>
      </c>
      <c r="B63" s="1" t="s">
        <v>424</v>
      </c>
      <c r="C63" s="1" t="s">
        <v>47</v>
      </c>
      <c r="D63" s="1" t="s">
        <v>48</v>
      </c>
      <c r="E63" s="1" t="s">
        <v>49</v>
      </c>
      <c r="F63" s="1" t="s">
        <v>49</v>
      </c>
      <c r="G63" s="1" t="s">
        <v>50</v>
      </c>
      <c r="H63" s="1" t="s">
        <v>51</v>
      </c>
      <c r="I63" s="1" t="s">
        <v>425</v>
      </c>
      <c r="J63" s="1" t="s">
        <v>426</v>
      </c>
      <c r="K63" s="1" t="s">
        <v>427</v>
      </c>
      <c r="L63" s="1" t="s">
        <v>55</v>
      </c>
      <c r="M63" s="1" t="s">
        <v>55</v>
      </c>
      <c r="N63" s="1" t="s">
        <v>55</v>
      </c>
      <c r="O63" s="1" t="s">
        <v>55</v>
      </c>
      <c r="P63" s="1" t="s">
        <v>55</v>
      </c>
      <c r="Q63" s="1" t="s">
        <v>55</v>
      </c>
      <c r="R63" s="1" t="s">
        <v>55</v>
      </c>
      <c r="S63" s="1" t="s">
        <v>55</v>
      </c>
      <c r="T63" s="1" t="s">
        <v>55</v>
      </c>
      <c r="U63" s="1" t="s">
        <v>55</v>
      </c>
      <c r="V63" s="1" t="s">
        <v>55</v>
      </c>
      <c r="W63" s="1" t="s">
        <v>55</v>
      </c>
      <c r="X63" s="1" t="s">
        <v>55</v>
      </c>
      <c r="Y63" s="1" t="s">
        <v>50</v>
      </c>
      <c r="Z63" t="str">
        <f>_xll.BDP($B63,"CUST_TRR_RETURN_HOLDING_PER","CUST_TRR_START_DT","20260401","CUST_TRR_END_DT","20260430","CUST_TRR_CRNCY","USD")</f>
        <v>#N/A N/A</v>
      </c>
      <c r="AA63" t="str">
        <f>_xll.BDP($B63,"CUST_TRR_RETURN_HOLDING_PER","CUST_TRR_START_DT","20260501","CUST_TRR_END_DT","20260531","CUST_TRR_CRNCY","USD")</f>
        <v>#N/A N/A</v>
      </c>
      <c r="AB63" t="str">
        <f>_xll.BDP($B63,"CUST_TRR_RETURN_HOLDING_PER","CUST_TRR_START_DT","20260601","CUST_TRR_END_DT","20260630","CUST_TRR_CRNCY","USD")</f>
        <v>#N/A N/A</v>
      </c>
      <c r="AC63" s="1" t="s">
        <v>56</v>
      </c>
      <c r="AD63" s="1" t="s">
        <v>56</v>
      </c>
      <c r="AE63" s="1" t="s">
        <v>56</v>
      </c>
      <c r="AF63" s="1" t="s">
        <v>56</v>
      </c>
      <c r="AG63" s="1" t="s">
        <v>56</v>
      </c>
      <c r="AH63" s="1" t="s">
        <v>56</v>
      </c>
      <c r="AI63" s="1" t="s">
        <v>57</v>
      </c>
      <c r="AJ63" s="1" t="s">
        <v>57</v>
      </c>
      <c r="AK63" s="1" t="s">
        <v>56</v>
      </c>
      <c r="AL63" s="1" t="s">
        <v>57</v>
      </c>
      <c r="AM63" s="1" t="s">
        <v>57</v>
      </c>
      <c r="AN63" s="1" t="s">
        <v>56</v>
      </c>
      <c r="AO63" s="1" t="s">
        <v>169</v>
      </c>
      <c r="AP63" s="1" t="s">
        <v>57</v>
      </c>
      <c r="AQ63" s="1" t="s">
        <v>56</v>
      </c>
      <c r="AR63" s="1" t="s">
        <v>428</v>
      </c>
      <c r="AS63" s="1" t="s">
        <v>429</v>
      </c>
    </row>
    <row r="64" spans="1:45" x14ac:dyDescent="0.25">
      <c r="A64" s="1" t="s">
        <v>430</v>
      </c>
      <c r="B64" s="1" t="s">
        <v>431</v>
      </c>
      <c r="C64" s="1" t="s">
        <v>47</v>
      </c>
      <c r="D64" s="1" t="s">
        <v>48</v>
      </c>
      <c r="E64" s="1" t="s">
        <v>49</v>
      </c>
      <c r="F64" s="1" t="s">
        <v>49</v>
      </c>
      <c r="G64" s="1" t="s">
        <v>50</v>
      </c>
      <c r="H64" s="1" t="s">
        <v>51</v>
      </c>
      <c r="I64" s="1" t="s">
        <v>432</v>
      </c>
      <c r="J64" s="1" t="s">
        <v>433</v>
      </c>
      <c r="K64" s="1" t="s">
        <v>434</v>
      </c>
      <c r="L64" s="1" t="s">
        <v>55</v>
      </c>
      <c r="M64" s="1" t="s">
        <v>55</v>
      </c>
      <c r="N64" s="1" t="s">
        <v>55</v>
      </c>
      <c r="O64" s="1" t="s">
        <v>55</v>
      </c>
      <c r="P64" s="1" t="s">
        <v>55</v>
      </c>
      <c r="Q64" s="1" t="s">
        <v>55</v>
      </c>
      <c r="R64" s="1" t="s">
        <v>55</v>
      </c>
      <c r="S64" s="1" t="s">
        <v>55</v>
      </c>
      <c r="T64" s="1" t="s">
        <v>55</v>
      </c>
      <c r="U64" s="1" t="s">
        <v>55</v>
      </c>
      <c r="V64" s="1" t="s">
        <v>55</v>
      </c>
      <c r="W64" s="1" t="s">
        <v>55</v>
      </c>
      <c r="X64" s="1" t="s">
        <v>55</v>
      </c>
      <c r="Y64" s="1" t="s">
        <v>50</v>
      </c>
      <c r="Z64" t="str">
        <f>_xll.BDP($B64,"CUST_TRR_RETURN_HOLDING_PER","CUST_TRR_START_DT","20260401","CUST_TRR_END_DT","20260430","CUST_TRR_CRNCY","USD")</f>
        <v>#N/A N/A</v>
      </c>
      <c r="AA64">
        <f>_xll.BDP($B64,"CUST_TRR_RETURN_HOLDING_PER","CUST_TRR_START_DT","20260501","CUST_TRR_END_DT","20260531","CUST_TRR_CRNCY","USD")</f>
        <v>3.3726069999999999</v>
      </c>
      <c r="AB64" t="str">
        <f>_xll.BDP($B64,"CUST_TRR_RETURN_HOLDING_PER","CUST_TRR_START_DT","20260601","CUST_TRR_END_DT","20260630","CUST_TRR_CRNCY","USD")</f>
        <v>#N/A N/A</v>
      </c>
      <c r="AC64" s="1" t="s">
        <v>56</v>
      </c>
      <c r="AD64" s="1" t="s">
        <v>56</v>
      </c>
      <c r="AE64" s="1" t="s">
        <v>56</v>
      </c>
      <c r="AF64" s="1" t="s">
        <v>56</v>
      </c>
      <c r="AG64" s="1" t="s">
        <v>56</v>
      </c>
      <c r="AH64" s="1" t="s">
        <v>56</v>
      </c>
      <c r="AI64" s="1" t="s">
        <v>57</v>
      </c>
      <c r="AJ64" s="1" t="s">
        <v>57</v>
      </c>
      <c r="AK64" s="1" t="s">
        <v>56</v>
      </c>
      <c r="AL64" s="1" t="s">
        <v>435</v>
      </c>
      <c r="AM64" s="1" t="s">
        <v>57</v>
      </c>
      <c r="AN64" s="1" t="s">
        <v>56</v>
      </c>
      <c r="AO64" s="1" t="s">
        <v>436</v>
      </c>
      <c r="AP64" s="1" t="s">
        <v>437</v>
      </c>
      <c r="AQ64" s="1" t="s">
        <v>56</v>
      </c>
      <c r="AR64" s="1" t="s">
        <v>428</v>
      </c>
      <c r="AS64" s="1" t="s">
        <v>429</v>
      </c>
    </row>
    <row r="65" spans="1:45" x14ac:dyDescent="0.25">
      <c r="A65" s="1" t="s">
        <v>438</v>
      </c>
      <c r="B65" s="1" t="s">
        <v>439</v>
      </c>
      <c r="C65" s="1" t="s">
        <v>47</v>
      </c>
      <c r="D65" s="1" t="s">
        <v>48</v>
      </c>
      <c r="E65" s="1" t="s">
        <v>49</v>
      </c>
      <c r="F65" s="1" t="s">
        <v>49</v>
      </c>
      <c r="G65" s="1" t="s">
        <v>50</v>
      </c>
      <c r="H65" s="1" t="s">
        <v>51</v>
      </c>
      <c r="I65" s="1" t="s">
        <v>440</v>
      </c>
      <c r="J65" s="1" t="s">
        <v>441</v>
      </c>
      <c r="K65" s="1" t="s">
        <v>442</v>
      </c>
      <c r="L65" s="1" t="s">
        <v>55</v>
      </c>
      <c r="M65" s="1" t="s">
        <v>55</v>
      </c>
      <c r="N65" s="1" t="s">
        <v>55</v>
      </c>
      <c r="O65" s="1" t="s">
        <v>55</v>
      </c>
      <c r="P65" s="1" t="s">
        <v>55</v>
      </c>
      <c r="Q65" s="1" t="s">
        <v>55</v>
      </c>
      <c r="R65" s="1" t="s">
        <v>55</v>
      </c>
      <c r="S65" s="1" t="s">
        <v>55</v>
      </c>
      <c r="T65" s="1" t="s">
        <v>55</v>
      </c>
      <c r="U65" s="1" t="s">
        <v>55</v>
      </c>
      <c r="V65" s="1" t="s">
        <v>55</v>
      </c>
      <c r="W65" s="1" t="s">
        <v>55</v>
      </c>
      <c r="X65" s="1" t="s">
        <v>55</v>
      </c>
      <c r="Y65" s="1" t="s">
        <v>50</v>
      </c>
      <c r="Z65" t="str">
        <f>_xll.BDP($B65,"CUST_TRR_RETURN_HOLDING_PER","CUST_TRR_START_DT","20260401","CUST_TRR_END_DT","20260430","CUST_TRR_CRNCY","USD")</f>
        <v>#N/A N/A</v>
      </c>
      <c r="AA65" t="str">
        <f>_xll.BDP($B65,"CUST_TRR_RETURN_HOLDING_PER","CUST_TRR_START_DT","20260501","CUST_TRR_END_DT","20260531","CUST_TRR_CRNCY","USD")</f>
        <v>#N/A N/A</v>
      </c>
      <c r="AB65" t="str">
        <f>_xll.BDP($B65,"CUST_TRR_RETURN_HOLDING_PER","CUST_TRR_START_DT","20260601","CUST_TRR_END_DT","20260630","CUST_TRR_CRNCY","USD")</f>
        <v>#N/A N/A</v>
      </c>
      <c r="AC65" s="1" t="s">
        <v>56</v>
      </c>
      <c r="AD65" s="1" t="s">
        <v>56</v>
      </c>
      <c r="AE65" s="1" t="s">
        <v>56</v>
      </c>
      <c r="AF65" s="1" t="s">
        <v>56</v>
      </c>
      <c r="AG65" s="1" t="s">
        <v>56</v>
      </c>
      <c r="AH65" s="1" t="s">
        <v>56</v>
      </c>
      <c r="AI65" s="1" t="s">
        <v>57</v>
      </c>
      <c r="AJ65" s="1" t="s">
        <v>57</v>
      </c>
      <c r="AK65" s="1" t="s">
        <v>56</v>
      </c>
      <c r="AL65" s="1" t="s">
        <v>57</v>
      </c>
      <c r="AM65" s="1" t="s">
        <v>57</v>
      </c>
      <c r="AN65" s="1" t="s">
        <v>56</v>
      </c>
      <c r="AO65" s="1" t="s">
        <v>443</v>
      </c>
      <c r="AP65" s="1" t="s">
        <v>57</v>
      </c>
      <c r="AQ65" s="1" t="s">
        <v>56</v>
      </c>
      <c r="AR65" s="1" t="s">
        <v>428</v>
      </c>
      <c r="AS65" s="1" t="s">
        <v>429</v>
      </c>
    </row>
    <row r="66" spans="1:45" x14ac:dyDescent="0.25">
      <c r="A66" s="1" t="s">
        <v>444</v>
      </c>
      <c r="B66" s="1" t="s">
        <v>445</v>
      </c>
      <c r="C66" s="1" t="s">
        <v>47</v>
      </c>
      <c r="D66" s="1" t="s">
        <v>48</v>
      </c>
      <c r="E66" s="1" t="s">
        <v>49</v>
      </c>
      <c r="F66" s="1" t="s">
        <v>49</v>
      </c>
      <c r="G66" s="1" t="s">
        <v>50</v>
      </c>
      <c r="H66" s="1" t="s">
        <v>51</v>
      </c>
      <c r="I66" s="1" t="s">
        <v>446</v>
      </c>
      <c r="J66" s="1" t="s">
        <v>447</v>
      </c>
      <c r="K66" s="1" t="s">
        <v>448</v>
      </c>
      <c r="L66" s="1" t="s">
        <v>55</v>
      </c>
      <c r="M66" s="1" t="s">
        <v>55</v>
      </c>
      <c r="N66" s="1" t="s">
        <v>55</v>
      </c>
      <c r="O66" s="1" t="s">
        <v>55</v>
      </c>
      <c r="P66" s="1" t="s">
        <v>55</v>
      </c>
      <c r="Q66" s="1" t="s">
        <v>55</v>
      </c>
      <c r="R66" s="1" t="s">
        <v>55</v>
      </c>
      <c r="S66" s="1" t="s">
        <v>55</v>
      </c>
      <c r="T66" s="1" t="s">
        <v>55</v>
      </c>
      <c r="U66" s="1" t="s">
        <v>55</v>
      </c>
      <c r="V66" s="1" t="s">
        <v>55</v>
      </c>
      <c r="W66" s="1" t="s">
        <v>55</v>
      </c>
      <c r="X66" s="1" t="s">
        <v>55</v>
      </c>
      <c r="Y66" s="1" t="s">
        <v>50</v>
      </c>
      <c r="Z66" t="str">
        <f>_xll.BDP($B66,"CUST_TRR_RETURN_HOLDING_PER","CUST_TRR_START_DT","20260401","CUST_TRR_END_DT","20260430","CUST_TRR_CRNCY","USD")</f>
        <v>#N/A N/A</v>
      </c>
      <c r="AA66">
        <f>_xll.BDP($B66,"CUST_TRR_RETURN_HOLDING_PER","CUST_TRR_START_DT","20260501","CUST_TRR_END_DT","20260531","CUST_TRR_CRNCY","USD")</f>
        <v>3.3770169999999999</v>
      </c>
      <c r="AB66" t="str">
        <f>_xll.BDP($B66,"CUST_TRR_RETURN_HOLDING_PER","CUST_TRR_START_DT","20260601","CUST_TRR_END_DT","20260630","CUST_TRR_CRNCY","USD")</f>
        <v>#N/A N/A</v>
      </c>
      <c r="AC66" s="1" t="s">
        <v>56</v>
      </c>
      <c r="AD66" s="1" t="s">
        <v>56</v>
      </c>
      <c r="AE66" s="1" t="s">
        <v>56</v>
      </c>
      <c r="AF66" s="1" t="s">
        <v>56</v>
      </c>
      <c r="AG66" s="1" t="s">
        <v>56</v>
      </c>
      <c r="AH66" s="1" t="s">
        <v>56</v>
      </c>
      <c r="AI66" s="1" t="s">
        <v>169</v>
      </c>
      <c r="AJ66" s="1" t="s">
        <v>57</v>
      </c>
      <c r="AK66" s="1" t="s">
        <v>56</v>
      </c>
      <c r="AL66" s="1" t="s">
        <v>449</v>
      </c>
      <c r="AM66" s="1" t="s">
        <v>57</v>
      </c>
      <c r="AN66" s="1" t="s">
        <v>56</v>
      </c>
      <c r="AO66" s="1" t="s">
        <v>450</v>
      </c>
      <c r="AP66" s="1" t="s">
        <v>451</v>
      </c>
      <c r="AQ66" s="1" t="s">
        <v>56</v>
      </c>
      <c r="AR66" s="1" t="s">
        <v>428</v>
      </c>
      <c r="AS66" s="1" t="s">
        <v>429</v>
      </c>
    </row>
    <row r="67" spans="1:45" x14ac:dyDescent="0.25">
      <c r="A67" s="1" t="s">
        <v>452</v>
      </c>
      <c r="B67" s="1" t="s">
        <v>453</v>
      </c>
      <c r="C67" s="1" t="s">
        <v>47</v>
      </c>
      <c r="D67" s="1" t="s">
        <v>48</v>
      </c>
      <c r="E67" s="1" t="s">
        <v>49</v>
      </c>
      <c r="F67" s="1" t="s">
        <v>49</v>
      </c>
      <c r="G67" s="1" t="s">
        <v>50</v>
      </c>
      <c r="H67" s="1" t="s">
        <v>51</v>
      </c>
      <c r="I67" s="1" t="s">
        <v>454</v>
      </c>
      <c r="J67" s="1" t="s">
        <v>455</v>
      </c>
      <c r="K67" s="1" t="s">
        <v>456</v>
      </c>
      <c r="L67" s="1" t="s">
        <v>55</v>
      </c>
      <c r="M67" s="1" t="s">
        <v>55</v>
      </c>
      <c r="N67" s="1" t="s">
        <v>55</v>
      </c>
      <c r="O67" s="1" t="s">
        <v>55</v>
      </c>
      <c r="P67" s="1" t="s">
        <v>55</v>
      </c>
      <c r="Q67" s="1" t="s">
        <v>55</v>
      </c>
      <c r="R67" s="1" t="s">
        <v>55</v>
      </c>
      <c r="S67" s="1" t="s">
        <v>55</v>
      </c>
      <c r="T67" s="1" t="s">
        <v>55</v>
      </c>
      <c r="U67" s="1" t="s">
        <v>55</v>
      </c>
      <c r="V67" s="1" t="s">
        <v>55</v>
      </c>
      <c r="W67" s="1" t="s">
        <v>55</v>
      </c>
      <c r="X67" s="1" t="s">
        <v>55</v>
      </c>
      <c r="Y67" s="1" t="s">
        <v>50</v>
      </c>
      <c r="Z67" t="str">
        <f>_xll.BDP($B67,"CUST_TRR_RETURN_HOLDING_PER","CUST_TRR_START_DT","20260401","CUST_TRR_END_DT","20260430","CUST_TRR_CRNCY","USD")</f>
        <v>#N/A N/A</v>
      </c>
      <c r="AA67" t="str">
        <f>_xll.BDP($B67,"CUST_TRR_RETURN_HOLDING_PER","CUST_TRR_START_DT","20260501","CUST_TRR_END_DT","20260531","CUST_TRR_CRNCY","USD")</f>
        <v>#N/A N/A</v>
      </c>
      <c r="AB67" t="str">
        <f>_xll.BDP($B67,"CUST_TRR_RETURN_HOLDING_PER","CUST_TRR_START_DT","20260601","CUST_TRR_END_DT","20260630","CUST_TRR_CRNCY","USD")</f>
        <v>#N/A N/A</v>
      </c>
      <c r="AC67" s="1" t="s">
        <v>56</v>
      </c>
      <c r="AD67" s="1" t="s">
        <v>56</v>
      </c>
      <c r="AE67" s="1" t="s">
        <v>56</v>
      </c>
      <c r="AF67" s="1" t="s">
        <v>56</v>
      </c>
      <c r="AG67" s="1" t="s">
        <v>56</v>
      </c>
      <c r="AH67" s="1" t="s">
        <v>56</v>
      </c>
      <c r="AI67" s="1" t="s">
        <v>57</v>
      </c>
      <c r="AJ67" s="1" t="s">
        <v>57</v>
      </c>
      <c r="AK67" s="1" t="s">
        <v>56</v>
      </c>
      <c r="AL67" s="1" t="s">
        <v>57</v>
      </c>
      <c r="AM67" s="1" t="s">
        <v>57</v>
      </c>
      <c r="AN67" s="1" t="s">
        <v>56</v>
      </c>
      <c r="AO67" s="1" t="s">
        <v>58</v>
      </c>
      <c r="AP67" s="1" t="s">
        <v>57</v>
      </c>
      <c r="AQ67" s="1" t="s">
        <v>56</v>
      </c>
      <c r="AR67" s="1" t="s">
        <v>56</v>
      </c>
      <c r="AS67" s="1" t="s">
        <v>56</v>
      </c>
    </row>
    <row r="68" spans="1:45" x14ac:dyDescent="0.25">
      <c r="A68" s="1" t="s">
        <v>457</v>
      </c>
      <c r="B68" s="1" t="s">
        <v>458</v>
      </c>
      <c r="C68" s="1" t="s">
        <v>47</v>
      </c>
      <c r="D68" s="1" t="s">
        <v>48</v>
      </c>
      <c r="E68" s="1" t="s">
        <v>49</v>
      </c>
      <c r="F68" s="1" t="s">
        <v>49</v>
      </c>
      <c r="G68" s="1" t="s">
        <v>50</v>
      </c>
      <c r="H68" s="1" t="s">
        <v>51</v>
      </c>
      <c r="I68" s="1" t="s">
        <v>459</v>
      </c>
      <c r="J68" s="1" t="s">
        <v>460</v>
      </c>
      <c r="K68" s="1" t="s">
        <v>461</v>
      </c>
      <c r="L68" s="1" t="s">
        <v>55</v>
      </c>
      <c r="M68" s="1" t="s">
        <v>55</v>
      </c>
      <c r="N68" s="1" t="s">
        <v>55</v>
      </c>
      <c r="O68" s="1" t="s">
        <v>55</v>
      </c>
      <c r="P68" s="1" t="s">
        <v>55</v>
      </c>
      <c r="Q68" s="1" t="s">
        <v>55</v>
      </c>
      <c r="R68" s="1" t="s">
        <v>55</v>
      </c>
      <c r="S68" s="1" t="s">
        <v>55</v>
      </c>
      <c r="T68" s="1" t="s">
        <v>55</v>
      </c>
      <c r="U68" s="1" t="s">
        <v>55</v>
      </c>
      <c r="V68" s="1" t="s">
        <v>55</v>
      </c>
      <c r="W68" s="1" t="s">
        <v>55</v>
      </c>
      <c r="X68" s="1" t="s">
        <v>55</v>
      </c>
      <c r="Y68" s="1" t="s">
        <v>50</v>
      </c>
      <c r="Z68" t="str">
        <f>_xll.BDP($B68,"CUST_TRR_RETURN_HOLDING_PER","CUST_TRR_START_DT","20260401","CUST_TRR_END_DT","20260430","CUST_TRR_CRNCY","USD")</f>
        <v>#N/A N/A</v>
      </c>
      <c r="AA68" t="str">
        <f>_xll.BDP($B68,"CUST_TRR_RETURN_HOLDING_PER","CUST_TRR_START_DT","20260501","CUST_TRR_END_DT","20260531","CUST_TRR_CRNCY","USD")</f>
        <v>#N/A N/A</v>
      </c>
      <c r="AB68" t="str">
        <f>_xll.BDP($B68,"CUST_TRR_RETURN_HOLDING_PER","CUST_TRR_START_DT","20260601","CUST_TRR_END_DT","20260630","CUST_TRR_CRNCY","USD")</f>
        <v>#N/A N/A</v>
      </c>
      <c r="AC68" s="1" t="s">
        <v>56</v>
      </c>
      <c r="AD68" s="1" t="s">
        <v>56</v>
      </c>
      <c r="AE68" s="1" t="s">
        <v>56</v>
      </c>
      <c r="AF68" s="1" t="s">
        <v>56</v>
      </c>
      <c r="AG68" s="1" t="s">
        <v>56</v>
      </c>
      <c r="AH68" s="1" t="s">
        <v>56</v>
      </c>
      <c r="AI68" s="1" t="s">
        <v>57</v>
      </c>
      <c r="AJ68" s="1" t="s">
        <v>57</v>
      </c>
      <c r="AK68" s="1" t="s">
        <v>56</v>
      </c>
      <c r="AL68" s="1" t="s">
        <v>57</v>
      </c>
      <c r="AM68" s="1" t="s">
        <v>57</v>
      </c>
      <c r="AN68" s="1" t="s">
        <v>56</v>
      </c>
      <c r="AO68" s="1" t="s">
        <v>169</v>
      </c>
      <c r="AP68" s="1" t="s">
        <v>57</v>
      </c>
      <c r="AQ68" s="1" t="s">
        <v>56</v>
      </c>
      <c r="AR68" s="1" t="s">
        <v>462</v>
      </c>
      <c r="AS68" s="1" t="s">
        <v>463</v>
      </c>
    </row>
    <row r="69" spans="1:45" x14ac:dyDescent="0.25">
      <c r="A69" s="1" t="s">
        <v>464</v>
      </c>
      <c r="B69" s="1" t="s">
        <v>465</v>
      </c>
      <c r="C69" s="1" t="s">
        <v>47</v>
      </c>
      <c r="D69" s="1" t="s">
        <v>48</v>
      </c>
      <c r="E69" s="1" t="s">
        <v>49</v>
      </c>
      <c r="F69" s="1" t="s">
        <v>49</v>
      </c>
      <c r="G69" s="1" t="s">
        <v>50</v>
      </c>
      <c r="H69" s="1" t="s">
        <v>51</v>
      </c>
      <c r="I69" s="1" t="s">
        <v>466</v>
      </c>
      <c r="J69" s="1" t="s">
        <v>467</v>
      </c>
      <c r="K69" s="1" t="s">
        <v>468</v>
      </c>
      <c r="L69" s="1" t="s">
        <v>55</v>
      </c>
      <c r="M69" s="1" t="s">
        <v>55</v>
      </c>
      <c r="N69" s="1" t="s">
        <v>55</v>
      </c>
      <c r="O69" s="1" t="s">
        <v>55</v>
      </c>
      <c r="P69" s="1" t="s">
        <v>55</v>
      </c>
      <c r="Q69" s="1" t="s">
        <v>55</v>
      </c>
      <c r="R69" s="1" t="s">
        <v>55</v>
      </c>
      <c r="S69" s="1" t="s">
        <v>55</v>
      </c>
      <c r="T69" s="1" t="s">
        <v>55</v>
      </c>
      <c r="U69" s="1" t="s">
        <v>55</v>
      </c>
      <c r="V69" s="1" t="s">
        <v>55</v>
      </c>
      <c r="W69" s="1" t="s">
        <v>55</v>
      </c>
      <c r="X69" s="1" t="s">
        <v>55</v>
      </c>
      <c r="Y69" s="1" t="s">
        <v>50</v>
      </c>
      <c r="Z69" t="str">
        <f>_xll.BDP($B69,"CUST_TRR_RETURN_HOLDING_PER","CUST_TRR_START_DT","20260401","CUST_TRR_END_DT","20260430","CUST_TRR_CRNCY","USD")</f>
        <v>#N/A N/A</v>
      </c>
      <c r="AA69">
        <f>_xll.BDP($B69,"CUST_TRR_RETURN_HOLDING_PER","CUST_TRR_START_DT","20260501","CUST_TRR_END_DT","20260531","CUST_TRR_CRNCY","USD")</f>
        <v>0.75113269999999999</v>
      </c>
      <c r="AB69" t="str">
        <f>_xll.BDP($B69,"CUST_TRR_RETURN_HOLDING_PER","CUST_TRR_START_DT","20260601","CUST_TRR_END_DT","20260630","CUST_TRR_CRNCY","USD")</f>
        <v>#N/A N/A</v>
      </c>
      <c r="AC69" s="1" t="s">
        <v>56</v>
      </c>
      <c r="AD69" s="1" t="s">
        <v>56</v>
      </c>
      <c r="AE69" s="1" t="s">
        <v>56</v>
      </c>
      <c r="AF69" s="1" t="s">
        <v>56</v>
      </c>
      <c r="AG69" s="1" t="s">
        <v>56</v>
      </c>
      <c r="AH69" s="1" t="s">
        <v>56</v>
      </c>
      <c r="AI69" s="1" t="s">
        <v>57</v>
      </c>
      <c r="AJ69" s="1" t="s">
        <v>57</v>
      </c>
      <c r="AK69" s="1" t="s">
        <v>56</v>
      </c>
      <c r="AL69" s="1" t="s">
        <v>469</v>
      </c>
      <c r="AM69" s="1" t="s">
        <v>57</v>
      </c>
      <c r="AN69" s="1" t="s">
        <v>56</v>
      </c>
      <c r="AO69" s="1" t="s">
        <v>57</v>
      </c>
      <c r="AP69" s="1" t="s">
        <v>470</v>
      </c>
      <c r="AQ69" s="1" t="s">
        <v>56</v>
      </c>
      <c r="AR69" s="1" t="s">
        <v>462</v>
      </c>
      <c r="AS69" s="1" t="s">
        <v>463</v>
      </c>
    </row>
    <row r="70" spans="1:45" x14ac:dyDescent="0.25">
      <c r="A70" s="1" t="s">
        <v>471</v>
      </c>
      <c r="B70" s="1" t="s">
        <v>472</v>
      </c>
      <c r="C70" s="1" t="s">
        <v>47</v>
      </c>
      <c r="D70" s="1" t="s">
        <v>48</v>
      </c>
      <c r="E70" s="1" t="s">
        <v>49</v>
      </c>
      <c r="F70" s="1" t="s">
        <v>49</v>
      </c>
      <c r="G70" s="1" t="s">
        <v>50</v>
      </c>
      <c r="H70" s="1" t="s">
        <v>51</v>
      </c>
      <c r="I70" s="1" t="s">
        <v>473</v>
      </c>
      <c r="J70" s="1" t="s">
        <v>474</v>
      </c>
      <c r="K70" s="1" t="s">
        <v>475</v>
      </c>
      <c r="L70" s="1" t="s">
        <v>55</v>
      </c>
      <c r="M70" s="1" t="s">
        <v>55</v>
      </c>
      <c r="N70" s="1" t="s">
        <v>55</v>
      </c>
      <c r="O70" s="1" t="s">
        <v>55</v>
      </c>
      <c r="P70" s="1" t="s">
        <v>55</v>
      </c>
      <c r="Q70" s="1" t="s">
        <v>55</v>
      </c>
      <c r="R70" s="1" t="s">
        <v>55</v>
      </c>
      <c r="S70" s="1" t="s">
        <v>55</v>
      </c>
      <c r="T70" s="1" t="s">
        <v>55</v>
      </c>
      <c r="U70" s="1" t="s">
        <v>55</v>
      </c>
      <c r="V70" s="1" t="s">
        <v>55</v>
      </c>
      <c r="W70" s="1" t="s">
        <v>55</v>
      </c>
      <c r="X70" s="1" t="s">
        <v>55</v>
      </c>
      <c r="Y70" s="1" t="s">
        <v>50</v>
      </c>
      <c r="Z70" t="str">
        <f>_xll.BDP($B70,"CUST_TRR_RETURN_HOLDING_PER","CUST_TRR_START_DT","20260401","CUST_TRR_END_DT","20260430","CUST_TRR_CRNCY","USD")</f>
        <v>#N/A N/A</v>
      </c>
      <c r="AA70" t="str">
        <f>_xll.BDP($B70,"CUST_TRR_RETURN_HOLDING_PER","CUST_TRR_START_DT","20260501","CUST_TRR_END_DT","20260531","CUST_TRR_CRNCY","USD")</f>
        <v>#N/A N/A</v>
      </c>
      <c r="AB70" t="str">
        <f>_xll.BDP($B70,"CUST_TRR_RETURN_HOLDING_PER","CUST_TRR_START_DT","20260601","CUST_TRR_END_DT","20260630","CUST_TRR_CRNCY","USD")</f>
        <v>#N/A N/A</v>
      </c>
      <c r="AC70" s="1" t="s">
        <v>56</v>
      </c>
      <c r="AD70" s="1" t="s">
        <v>56</v>
      </c>
      <c r="AE70" s="1" t="s">
        <v>56</v>
      </c>
      <c r="AF70" s="1" t="s">
        <v>56</v>
      </c>
      <c r="AG70" s="1" t="s">
        <v>56</v>
      </c>
      <c r="AH70" s="1" t="s">
        <v>56</v>
      </c>
      <c r="AI70" s="1" t="s">
        <v>57</v>
      </c>
      <c r="AJ70" s="1" t="s">
        <v>57</v>
      </c>
      <c r="AK70" s="1" t="s">
        <v>56</v>
      </c>
      <c r="AL70" s="1" t="s">
        <v>57</v>
      </c>
      <c r="AM70" s="1" t="s">
        <v>57</v>
      </c>
      <c r="AN70" s="1" t="s">
        <v>56</v>
      </c>
      <c r="AO70" s="1" t="s">
        <v>58</v>
      </c>
      <c r="AP70" s="1" t="s">
        <v>57</v>
      </c>
      <c r="AQ70" s="1" t="s">
        <v>56</v>
      </c>
      <c r="AR70" s="1" t="s">
        <v>59</v>
      </c>
      <c r="AS70" s="1" t="s">
        <v>60</v>
      </c>
    </row>
    <row r="71" spans="1:45" x14ac:dyDescent="0.25">
      <c r="A71" s="1" t="s">
        <v>476</v>
      </c>
      <c r="B71" s="1" t="s">
        <v>477</v>
      </c>
      <c r="C71" s="1" t="s">
        <v>47</v>
      </c>
      <c r="D71" s="1" t="s">
        <v>48</v>
      </c>
      <c r="E71" s="1" t="s">
        <v>49</v>
      </c>
      <c r="F71" s="1" t="s">
        <v>49</v>
      </c>
      <c r="G71" s="1" t="s">
        <v>50</v>
      </c>
      <c r="H71" s="1" t="s">
        <v>51</v>
      </c>
      <c r="I71" s="1" t="s">
        <v>478</v>
      </c>
      <c r="J71" s="1" t="s">
        <v>479</v>
      </c>
      <c r="K71" s="1" t="s">
        <v>480</v>
      </c>
      <c r="L71" s="1" t="s">
        <v>55</v>
      </c>
      <c r="M71" s="1" t="s">
        <v>55</v>
      </c>
      <c r="N71" s="1" t="s">
        <v>55</v>
      </c>
      <c r="O71" s="1" t="s">
        <v>55</v>
      </c>
      <c r="P71" s="1" t="s">
        <v>55</v>
      </c>
      <c r="Q71" s="1" t="s">
        <v>55</v>
      </c>
      <c r="R71" s="1" t="s">
        <v>55</v>
      </c>
      <c r="S71" s="1" t="s">
        <v>55</v>
      </c>
      <c r="T71" s="1" t="s">
        <v>55</v>
      </c>
      <c r="U71" s="1" t="s">
        <v>55</v>
      </c>
      <c r="V71" s="1" t="s">
        <v>55</v>
      </c>
      <c r="W71" s="1" t="s">
        <v>55</v>
      </c>
      <c r="X71" s="1" t="s">
        <v>55</v>
      </c>
      <c r="Y71" s="1" t="s">
        <v>50</v>
      </c>
      <c r="Z71" t="str">
        <f>_xll.BDP($B71,"CUST_TRR_RETURN_HOLDING_PER","CUST_TRR_START_DT","20260401","CUST_TRR_END_DT","20260430","CUST_TRR_CRNCY","USD")</f>
        <v>#N/A N/A</v>
      </c>
      <c r="AA71">
        <f>_xll.BDP($B71,"CUST_TRR_RETURN_HOLDING_PER","CUST_TRR_START_DT","20260501","CUST_TRR_END_DT","20260531","CUST_TRR_CRNCY","USD")</f>
        <v>1.0961689999999999</v>
      </c>
      <c r="AB71" t="str">
        <f>_xll.BDP($B71,"CUST_TRR_RETURN_HOLDING_PER","CUST_TRR_START_DT","20260601","CUST_TRR_END_DT","20260630","CUST_TRR_CRNCY","USD")</f>
        <v>#N/A N/A</v>
      </c>
      <c r="AC71" s="1" t="s">
        <v>56</v>
      </c>
      <c r="AD71" s="1" t="s">
        <v>56</v>
      </c>
      <c r="AE71" s="1" t="s">
        <v>56</v>
      </c>
      <c r="AF71" s="1" t="s">
        <v>56</v>
      </c>
      <c r="AG71" s="1" t="s">
        <v>56</v>
      </c>
      <c r="AH71" s="1" t="s">
        <v>56</v>
      </c>
      <c r="AI71" s="1" t="s">
        <v>57</v>
      </c>
      <c r="AJ71" s="1" t="s">
        <v>57</v>
      </c>
      <c r="AK71" s="1" t="s">
        <v>56</v>
      </c>
      <c r="AL71" s="1" t="s">
        <v>481</v>
      </c>
      <c r="AM71" s="1" t="s">
        <v>57</v>
      </c>
      <c r="AN71" s="1" t="s">
        <v>56</v>
      </c>
      <c r="AO71" s="1" t="s">
        <v>57</v>
      </c>
      <c r="AP71" s="1" t="s">
        <v>482</v>
      </c>
      <c r="AQ71" s="1" t="s">
        <v>56</v>
      </c>
      <c r="AR71" s="1" t="s">
        <v>59</v>
      </c>
      <c r="AS71" s="1" t="s">
        <v>60</v>
      </c>
    </row>
    <row r="72" spans="1:45" x14ac:dyDescent="0.25">
      <c r="A72" s="1" t="s">
        <v>483</v>
      </c>
      <c r="B72" s="1" t="s">
        <v>484</v>
      </c>
      <c r="C72" s="1" t="s">
        <v>47</v>
      </c>
      <c r="D72" s="1" t="s">
        <v>48</v>
      </c>
      <c r="E72" s="1" t="s">
        <v>49</v>
      </c>
      <c r="F72" s="1" t="s">
        <v>49</v>
      </c>
      <c r="G72" s="1" t="s">
        <v>50</v>
      </c>
      <c r="H72" s="1" t="s">
        <v>51</v>
      </c>
      <c r="I72" s="1" t="s">
        <v>485</v>
      </c>
      <c r="J72" s="1" t="s">
        <v>486</v>
      </c>
      <c r="K72" s="1" t="s">
        <v>487</v>
      </c>
      <c r="L72" s="1" t="s">
        <v>55</v>
      </c>
      <c r="M72" s="1" t="s">
        <v>55</v>
      </c>
      <c r="N72" s="1" t="s">
        <v>55</v>
      </c>
      <c r="O72" s="1" t="s">
        <v>55</v>
      </c>
      <c r="P72" s="1" t="s">
        <v>55</v>
      </c>
      <c r="Q72" s="1" t="s">
        <v>55</v>
      </c>
      <c r="R72" s="1" t="s">
        <v>55</v>
      </c>
      <c r="S72" s="1" t="s">
        <v>55</v>
      </c>
      <c r="T72" s="1" t="s">
        <v>55</v>
      </c>
      <c r="U72" s="1" t="s">
        <v>55</v>
      </c>
      <c r="V72" s="1" t="s">
        <v>55</v>
      </c>
      <c r="W72" s="1" t="s">
        <v>55</v>
      </c>
      <c r="X72" s="1" t="s">
        <v>55</v>
      </c>
      <c r="Y72" s="1" t="s">
        <v>50</v>
      </c>
      <c r="Z72" t="str">
        <f>_xll.BDP($B72,"CUST_TRR_RETURN_HOLDING_PER","CUST_TRR_START_DT","20260401","CUST_TRR_END_DT","20260430","CUST_TRR_CRNCY","USD")</f>
        <v>#N/A N/A</v>
      </c>
      <c r="AA72" t="str">
        <f>_xll.BDP($B72,"CUST_TRR_RETURN_HOLDING_PER","CUST_TRR_START_DT","20260501","CUST_TRR_END_DT","20260531","CUST_TRR_CRNCY","USD")</f>
        <v>#N/A N/A</v>
      </c>
      <c r="AB72" t="str">
        <f>_xll.BDP($B72,"CUST_TRR_RETURN_HOLDING_PER","CUST_TRR_START_DT","20260601","CUST_TRR_END_DT","20260630","CUST_TRR_CRNCY","USD")</f>
        <v>#N/A N/A</v>
      </c>
      <c r="AC72" s="1" t="s">
        <v>56</v>
      </c>
      <c r="AD72" s="1" t="s">
        <v>56</v>
      </c>
      <c r="AE72" s="1" t="s">
        <v>56</v>
      </c>
      <c r="AF72" s="1" t="s">
        <v>56</v>
      </c>
      <c r="AG72" s="1" t="s">
        <v>56</v>
      </c>
      <c r="AH72" s="1" t="s">
        <v>56</v>
      </c>
      <c r="AI72" s="1" t="s">
        <v>57</v>
      </c>
      <c r="AJ72" s="1" t="s">
        <v>57</v>
      </c>
      <c r="AK72" s="1" t="s">
        <v>56</v>
      </c>
      <c r="AL72" s="1" t="s">
        <v>57</v>
      </c>
      <c r="AM72" s="1" t="s">
        <v>57</v>
      </c>
      <c r="AN72" s="1" t="s">
        <v>56</v>
      </c>
      <c r="AO72" s="1" t="s">
        <v>488</v>
      </c>
      <c r="AP72" s="1" t="s">
        <v>57</v>
      </c>
      <c r="AQ72" s="1" t="s">
        <v>56</v>
      </c>
      <c r="AR72" s="1" t="s">
        <v>89</v>
      </c>
      <c r="AS72" s="1" t="s">
        <v>90</v>
      </c>
    </row>
    <row r="73" spans="1:45" x14ac:dyDescent="0.25">
      <c r="A73" s="1" t="s">
        <v>489</v>
      </c>
      <c r="B73" s="1" t="s">
        <v>490</v>
      </c>
      <c r="C73" s="1" t="s">
        <v>47</v>
      </c>
      <c r="D73" s="1" t="s">
        <v>48</v>
      </c>
      <c r="E73" s="1" t="s">
        <v>49</v>
      </c>
      <c r="F73" s="1" t="s">
        <v>49</v>
      </c>
      <c r="G73" s="1" t="s">
        <v>50</v>
      </c>
      <c r="H73" s="1" t="s">
        <v>51</v>
      </c>
      <c r="I73" s="1" t="s">
        <v>491</v>
      </c>
      <c r="J73" s="1" t="s">
        <v>492</v>
      </c>
      <c r="K73" s="1" t="s">
        <v>493</v>
      </c>
      <c r="L73" s="1" t="s">
        <v>55</v>
      </c>
      <c r="M73" s="1" t="s">
        <v>55</v>
      </c>
      <c r="N73" s="1" t="s">
        <v>55</v>
      </c>
      <c r="O73" s="1" t="s">
        <v>55</v>
      </c>
      <c r="P73" s="1" t="s">
        <v>55</v>
      </c>
      <c r="Q73" s="1" t="s">
        <v>55</v>
      </c>
      <c r="R73" s="1" t="s">
        <v>55</v>
      </c>
      <c r="S73" s="1" t="s">
        <v>55</v>
      </c>
      <c r="T73" s="1" t="s">
        <v>55</v>
      </c>
      <c r="U73" s="1" t="s">
        <v>55</v>
      </c>
      <c r="V73" s="1" t="s">
        <v>55</v>
      </c>
      <c r="W73" s="1" t="s">
        <v>55</v>
      </c>
      <c r="X73" s="1" t="s">
        <v>55</v>
      </c>
      <c r="Y73" s="1" t="s">
        <v>50</v>
      </c>
      <c r="Z73" t="str">
        <f>_xll.BDP($B73,"CUST_TRR_RETURN_HOLDING_PER","CUST_TRR_START_DT","20260401","CUST_TRR_END_DT","20260430","CUST_TRR_CRNCY","USD")</f>
        <v>#N/A N/A</v>
      </c>
      <c r="AA73" t="str">
        <f>_xll.BDP($B73,"CUST_TRR_RETURN_HOLDING_PER","CUST_TRR_START_DT","20260501","CUST_TRR_END_DT","20260531","CUST_TRR_CRNCY","USD")</f>
        <v>#N/A N/A</v>
      </c>
      <c r="AB73" t="str">
        <f>_xll.BDP($B73,"CUST_TRR_RETURN_HOLDING_PER","CUST_TRR_START_DT","20260601","CUST_TRR_END_DT","20260630","CUST_TRR_CRNCY","USD")</f>
        <v>#N/A N/A</v>
      </c>
      <c r="AC73" s="1" t="s">
        <v>56</v>
      </c>
      <c r="AD73" s="1" t="s">
        <v>56</v>
      </c>
      <c r="AE73" s="1" t="s">
        <v>56</v>
      </c>
      <c r="AF73" s="1" t="s">
        <v>56</v>
      </c>
      <c r="AG73" s="1" t="s">
        <v>56</v>
      </c>
      <c r="AH73" s="1" t="s">
        <v>56</v>
      </c>
      <c r="AI73" s="1" t="s">
        <v>57</v>
      </c>
      <c r="AJ73" s="1" t="s">
        <v>57</v>
      </c>
      <c r="AK73" s="1" t="s">
        <v>56</v>
      </c>
      <c r="AL73" s="1" t="s">
        <v>57</v>
      </c>
      <c r="AM73" s="1" t="s">
        <v>57</v>
      </c>
      <c r="AN73" s="1" t="s">
        <v>56</v>
      </c>
      <c r="AO73" s="1" t="s">
        <v>58</v>
      </c>
      <c r="AP73" s="1" t="s">
        <v>57</v>
      </c>
      <c r="AQ73" s="1" t="s">
        <v>56</v>
      </c>
      <c r="AR73" s="1" t="s">
        <v>59</v>
      </c>
      <c r="AS73" s="1" t="s">
        <v>60</v>
      </c>
    </row>
    <row r="74" spans="1:45" x14ac:dyDescent="0.25">
      <c r="A74" s="1" t="s">
        <v>494</v>
      </c>
      <c r="B74" s="1" t="s">
        <v>495</v>
      </c>
      <c r="C74" s="1" t="s">
        <v>47</v>
      </c>
      <c r="D74" s="1" t="s">
        <v>48</v>
      </c>
      <c r="E74" s="1" t="s">
        <v>49</v>
      </c>
      <c r="F74" s="1" t="s">
        <v>49</v>
      </c>
      <c r="G74" s="1" t="s">
        <v>50</v>
      </c>
      <c r="H74" s="1" t="s">
        <v>51</v>
      </c>
      <c r="I74" s="1" t="s">
        <v>496</v>
      </c>
      <c r="J74" s="1" t="s">
        <v>497</v>
      </c>
      <c r="K74" s="1" t="s">
        <v>498</v>
      </c>
      <c r="L74" s="1" t="s">
        <v>55</v>
      </c>
      <c r="M74" s="1" t="s">
        <v>55</v>
      </c>
      <c r="N74" s="1" t="s">
        <v>55</v>
      </c>
      <c r="O74" s="1" t="s">
        <v>55</v>
      </c>
      <c r="P74" s="1" t="s">
        <v>55</v>
      </c>
      <c r="Q74" s="1" t="s">
        <v>55</v>
      </c>
      <c r="R74" s="1" t="s">
        <v>55</v>
      </c>
      <c r="S74" s="1" t="s">
        <v>55</v>
      </c>
      <c r="T74" s="1" t="s">
        <v>55</v>
      </c>
      <c r="U74" s="1" t="s">
        <v>55</v>
      </c>
      <c r="V74" s="1" t="s">
        <v>55</v>
      </c>
      <c r="W74" s="1" t="s">
        <v>55</v>
      </c>
      <c r="X74" s="1" t="s">
        <v>55</v>
      </c>
      <c r="Y74" s="1" t="s">
        <v>50</v>
      </c>
      <c r="Z74" t="str">
        <f>_xll.BDP($B74,"CUST_TRR_RETURN_HOLDING_PER","CUST_TRR_START_DT","20260401","CUST_TRR_END_DT","20260430","CUST_TRR_CRNCY","USD")</f>
        <v>#N/A N/A</v>
      </c>
      <c r="AA74" t="str">
        <f>_xll.BDP($B74,"CUST_TRR_RETURN_HOLDING_PER","CUST_TRR_START_DT","20260501","CUST_TRR_END_DT","20260531","CUST_TRR_CRNCY","USD")</f>
        <v>#N/A N/A</v>
      </c>
      <c r="AB74" t="str">
        <f>_xll.BDP($B74,"CUST_TRR_RETURN_HOLDING_PER","CUST_TRR_START_DT","20260601","CUST_TRR_END_DT","20260630","CUST_TRR_CRNCY","USD")</f>
        <v>#N/A N/A</v>
      </c>
      <c r="AC74" s="1" t="s">
        <v>56</v>
      </c>
      <c r="AD74" s="1" t="s">
        <v>56</v>
      </c>
      <c r="AE74" s="1" t="s">
        <v>56</v>
      </c>
      <c r="AF74" s="1" t="s">
        <v>56</v>
      </c>
      <c r="AG74" s="1" t="s">
        <v>56</v>
      </c>
      <c r="AH74" s="1" t="s">
        <v>56</v>
      </c>
      <c r="AI74" s="1" t="s">
        <v>57</v>
      </c>
      <c r="AJ74" s="1" t="s">
        <v>57</v>
      </c>
      <c r="AK74" s="1" t="s">
        <v>56</v>
      </c>
      <c r="AL74" s="1" t="s">
        <v>57</v>
      </c>
      <c r="AM74" s="1" t="s">
        <v>57</v>
      </c>
      <c r="AN74" s="1" t="s">
        <v>56</v>
      </c>
      <c r="AO74" s="1" t="s">
        <v>58</v>
      </c>
      <c r="AP74" s="1" t="s">
        <v>57</v>
      </c>
      <c r="AQ74" s="1" t="s">
        <v>56</v>
      </c>
      <c r="AR74" s="1" t="s">
        <v>59</v>
      </c>
      <c r="AS74" s="1" t="s">
        <v>60</v>
      </c>
    </row>
    <row r="75" spans="1:45" x14ac:dyDescent="0.25">
      <c r="A75" s="1" t="s">
        <v>499</v>
      </c>
      <c r="B75" s="1" t="s">
        <v>500</v>
      </c>
      <c r="C75" s="1" t="s">
        <v>47</v>
      </c>
      <c r="D75" s="1" t="s">
        <v>48</v>
      </c>
      <c r="E75" s="1" t="s">
        <v>49</v>
      </c>
      <c r="F75" s="1" t="s">
        <v>49</v>
      </c>
      <c r="G75" s="1" t="s">
        <v>50</v>
      </c>
      <c r="H75" s="1" t="s">
        <v>51</v>
      </c>
      <c r="I75" s="1" t="s">
        <v>501</v>
      </c>
      <c r="J75" s="1" t="s">
        <v>502</v>
      </c>
      <c r="K75" s="1" t="s">
        <v>503</v>
      </c>
      <c r="L75" s="1" t="s">
        <v>55</v>
      </c>
      <c r="M75" s="1" t="s">
        <v>55</v>
      </c>
      <c r="N75" s="1" t="s">
        <v>55</v>
      </c>
      <c r="O75" s="1" t="s">
        <v>55</v>
      </c>
      <c r="P75" s="1" t="s">
        <v>55</v>
      </c>
      <c r="Q75" s="1" t="s">
        <v>55</v>
      </c>
      <c r="R75" s="1" t="s">
        <v>55</v>
      </c>
      <c r="S75" s="1" t="s">
        <v>55</v>
      </c>
      <c r="T75" s="1" t="s">
        <v>55</v>
      </c>
      <c r="U75" s="1" t="s">
        <v>55</v>
      </c>
      <c r="V75" s="1" t="s">
        <v>55</v>
      </c>
      <c r="W75" s="1" t="s">
        <v>55</v>
      </c>
      <c r="X75" s="1" t="s">
        <v>55</v>
      </c>
      <c r="Y75" s="1" t="s">
        <v>50</v>
      </c>
      <c r="Z75" t="str">
        <f>_xll.BDP($B75,"CUST_TRR_RETURN_HOLDING_PER","CUST_TRR_START_DT","20260401","CUST_TRR_END_DT","20260430","CUST_TRR_CRNCY","USD")</f>
        <v>#N/A N/A</v>
      </c>
      <c r="AA75" t="str">
        <f>_xll.BDP($B75,"CUST_TRR_RETURN_HOLDING_PER","CUST_TRR_START_DT","20260501","CUST_TRR_END_DT","20260531","CUST_TRR_CRNCY","USD")</f>
        <v>#N/A N/A</v>
      </c>
      <c r="AB75" t="str">
        <f>_xll.BDP($B75,"CUST_TRR_RETURN_HOLDING_PER","CUST_TRR_START_DT","20260601","CUST_TRR_END_DT","20260630","CUST_TRR_CRNCY","USD")</f>
        <v>#N/A N/A</v>
      </c>
      <c r="AC75" s="1" t="s">
        <v>56</v>
      </c>
      <c r="AD75" s="1" t="s">
        <v>56</v>
      </c>
      <c r="AE75" s="1" t="s">
        <v>56</v>
      </c>
      <c r="AF75" s="1" t="s">
        <v>56</v>
      </c>
      <c r="AG75" s="1" t="s">
        <v>56</v>
      </c>
      <c r="AH75" s="1" t="s">
        <v>56</v>
      </c>
      <c r="AI75" s="1" t="s">
        <v>57</v>
      </c>
      <c r="AJ75" s="1" t="s">
        <v>57</v>
      </c>
      <c r="AK75" s="1" t="s">
        <v>56</v>
      </c>
      <c r="AL75" s="1" t="s">
        <v>57</v>
      </c>
      <c r="AM75" s="1" t="s">
        <v>57</v>
      </c>
      <c r="AN75" s="1" t="s">
        <v>56</v>
      </c>
      <c r="AO75" s="1" t="s">
        <v>504</v>
      </c>
      <c r="AP75" s="1" t="s">
        <v>57</v>
      </c>
      <c r="AQ75" s="1" t="s">
        <v>56</v>
      </c>
      <c r="AR75" s="1" t="s">
        <v>59</v>
      </c>
      <c r="AS75" s="1" t="s">
        <v>60</v>
      </c>
    </row>
    <row r="76" spans="1:45" x14ac:dyDescent="0.25">
      <c r="A76" s="1" t="s">
        <v>505</v>
      </c>
      <c r="B76" s="1" t="s">
        <v>506</v>
      </c>
      <c r="C76" s="1" t="s">
        <v>47</v>
      </c>
      <c r="D76" s="1" t="s">
        <v>48</v>
      </c>
      <c r="E76" s="1" t="s">
        <v>49</v>
      </c>
      <c r="F76" s="1" t="s">
        <v>49</v>
      </c>
      <c r="G76" s="1" t="s">
        <v>50</v>
      </c>
      <c r="H76" s="1" t="s">
        <v>51</v>
      </c>
      <c r="I76" s="1" t="s">
        <v>507</v>
      </c>
      <c r="J76" s="1" t="s">
        <v>508</v>
      </c>
      <c r="K76" s="1" t="s">
        <v>509</v>
      </c>
      <c r="L76" s="1" t="s">
        <v>55</v>
      </c>
      <c r="M76" s="1" t="s">
        <v>55</v>
      </c>
      <c r="N76" s="1" t="s">
        <v>55</v>
      </c>
      <c r="O76" s="1" t="s">
        <v>55</v>
      </c>
      <c r="P76" s="1" t="s">
        <v>55</v>
      </c>
      <c r="Q76" s="1" t="s">
        <v>55</v>
      </c>
      <c r="R76" s="1" t="s">
        <v>55</v>
      </c>
      <c r="S76" s="1" t="s">
        <v>55</v>
      </c>
      <c r="T76" s="1" t="s">
        <v>55</v>
      </c>
      <c r="U76" s="1" t="s">
        <v>55</v>
      </c>
      <c r="V76" s="1" t="s">
        <v>55</v>
      </c>
      <c r="W76" s="1" t="s">
        <v>55</v>
      </c>
      <c r="X76" s="1" t="s">
        <v>55</v>
      </c>
      <c r="Y76" s="1" t="s">
        <v>50</v>
      </c>
      <c r="Z76" t="str">
        <f>_xll.BDP($B76,"CUST_TRR_RETURN_HOLDING_PER","CUST_TRR_START_DT","20260401","CUST_TRR_END_DT","20260430","CUST_TRR_CRNCY","USD")</f>
        <v>#N/A N/A</v>
      </c>
      <c r="AA76" t="str">
        <f>_xll.BDP($B76,"CUST_TRR_RETURN_HOLDING_PER","CUST_TRR_START_DT","20260501","CUST_TRR_END_DT","20260531","CUST_TRR_CRNCY","USD")</f>
        <v>#N/A N/A</v>
      </c>
      <c r="AB76" t="str">
        <f>_xll.BDP($B76,"CUST_TRR_RETURN_HOLDING_PER","CUST_TRR_START_DT","20260601","CUST_TRR_END_DT","20260630","CUST_TRR_CRNCY","USD")</f>
        <v>#N/A N/A</v>
      </c>
      <c r="AC76" s="1" t="s">
        <v>56</v>
      </c>
      <c r="AD76" s="1" t="s">
        <v>56</v>
      </c>
      <c r="AE76" s="1" t="s">
        <v>56</v>
      </c>
      <c r="AF76" s="1" t="s">
        <v>56</v>
      </c>
      <c r="AG76" s="1" t="s">
        <v>56</v>
      </c>
      <c r="AH76" s="1" t="s">
        <v>56</v>
      </c>
      <c r="AI76" s="1" t="s">
        <v>57</v>
      </c>
      <c r="AJ76" s="1" t="s">
        <v>57</v>
      </c>
      <c r="AK76" s="1" t="s">
        <v>56</v>
      </c>
      <c r="AL76" s="1" t="s">
        <v>57</v>
      </c>
      <c r="AM76" s="1" t="s">
        <v>57</v>
      </c>
      <c r="AN76" s="1" t="s">
        <v>56</v>
      </c>
      <c r="AO76" s="1" t="s">
        <v>510</v>
      </c>
      <c r="AP76" s="1" t="s">
        <v>57</v>
      </c>
      <c r="AQ76" s="1" t="s">
        <v>56</v>
      </c>
      <c r="AR76" s="1" t="s">
        <v>59</v>
      </c>
      <c r="AS76" s="1" t="s">
        <v>60</v>
      </c>
    </row>
    <row r="77" spans="1:45" x14ac:dyDescent="0.25">
      <c r="A77" s="1" t="s">
        <v>511</v>
      </c>
      <c r="B77" s="1" t="s">
        <v>512</v>
      </c>
      <c r="C77" s="1" t="s">
        <v>47</v>
      </c>
      <c r="D77" s="1" t="s">
        <v>48</v>
      </c>
      <c r="E77" s="1" t="s">
        <v>49</v>
      </c>
      <c r="F77" s="1" t="s">
        <v>49</v>
      </c>
      <c r="G77" s="1" t="s">
        <v>50</v>
      </c>
      <c r="H77" s="1" t="s">
        <v>51</v>
      </c>
      <c r="I77" s="1" t="s">
        <v>513</v>
      </c>
      <c r="J77" s="1" t="s">
        <v>514</v>
      </c>
      <c r="K77" s="1" t="s">
        <v>515</v>
      </c>
      <c r="L77" s="1" t="s">
        <v>55</v>
      </c>
      <c r="M77" s="1" t="s">
        <v>55</v>
      </c>
      <c r="N77" s="1" t="s">
        <v>55</v>
      </c>
      <c r="O77" s="1" t="s">
        <v>55</v>
      </c>
      <c r="P77" s="1" t="s">
        <v>55</v>
      </c>
      <c r="Q77" s="1" t="s">
        <v>55</v>
      </c>
      <c r="R77" s="1" t="s">
        <v>55</v>
      </c>
      <c r="S77" s="1" t="s">
        <v>55</v>
      </c>
      <c r="T77" s="1" t="s">
        <v>55</v>
      </c>
      <c r="U77" s="1" t="s">
        <v>55</v>
      </c>
      <c r="V77" s="1" t="s">
        <v>55</v>
      </c>
      <c r="W77" s="1" t="s">
        <v>55</v>
      </c>
      <c r="X77" s="1" t="s">
        <v>55</v>
      </c>
      <c r="Y77" s="1" t="s">
        <v>50</v>
      </c>
      <c r="Z77" t="str">
        <f>_xll.BDP($B77,"CUST_TRR_RETURN_HOLDING_PER","CUST_TRR_START_DT","20260401","CUST_TRR_END_DT","20260430","CUST_TRR_CRNCY","USD")</f>
        <v>#N/A N/A</v>
      </c>
      <c r="AA77" t="str">
        <f>_xll.BDP($B77,"CUST_TRR_RETURN_HOLDING_PER","CUST_TRR_START_DT","20260501","CUST_TRR_END_DT","20260531","CUST_TRR_CRNCY","USD")</f>
        <v>#N/A N/A</v>
      </c>
      <c r="AB77" t="str">
        <f>_xll.BDP($B77,"CUST_TRR_RETURN_HOLDING_PER","CUST_TRR_START_DT","20260601","CUST_TRR_END_DT","20260630","CUST_TRR_CRNCY","USD")</f>
        <v>#N/A N/A</v>
      </c>
      <c r="AC77" s="1" t="s">
        <v>56</v>
      </c>
      <c r="AD77" s="1" t="s">
        <v>56</v>
      </c>
      <c r="AE77" s="1" t="s">
        <v>56</v>
      </c>
      <c r="AF77" s="1" t="s">
        <v>56</v>
      </c>
      <c r="AG77" s="1" t="s">
        <v>56</v>
      </c>
      <c r="AH77" s="1" t="s">
        <v>56</v>
      </c>
      <c r="AI77" s="1" t="s">
        <v>57</v>
      </c>
      <c r="AJ77" s="1" t="s">
        <v>57</v>
      </c>
      <c r="AK77" s="1" t="s">
        <v>56</v>
      </c>
      <c r="AL77" s="1" t="s">
        <v>57</v>
      </c>
      <c r="AM77" s="1" t="s">
        <v>57</v>
      </c>
      <c r="AN77" s="1" t="s">
        <v>56</v>
      </c>
      <c r="AO77" s="1" t="s">
        <v>516</v>
      </c>
      <c r="AP77" s="1" t="s">
        <v>57</v>
      </c>
      <c r="AQ77" s="1" t="s">
        <v>56</v>
      </c>
      <c r="AR77" s="1" t="s">
        <v>59</v>
      </c>
      <c r="AS77" s="1" t="s">
        <v>60</v>
      </c>
    </row>
    <row r="78" spans="1:45" x14ac:dyDescent="0.25">
      <c r="A78" s="1" t="s">
        <v>517</v>
      </c>
      <c r="B78" s="1" t="s">
        <v>518</v>
      </c>
      <c r="C78" s="1" t="s">
        <v>47</v>
      </c>
      <c r="D78" s="1" t="s">
        <v>48</v>
      </c>
      <c r="E78" s="1" t="s">
        <v>49</v>
      </c>
      <c r="F78" s="1" t="s">
        <v>49</v>
      </c>
      <c r="G78" s="1" t="s">
        <v>50</v>
      </c>
      <c r="H78" s="1" t="s">
        <v>51</v>
      </c>
      <c r="I78" s="1" t="s">
        <v>519</v>
      </c>
      <c r="J78" s="1" t="s">
        <v>520</v>
      </c>
      <c r="K78" s="1" t="s">
        <v>521</v>
      </c>
      <c r="L78" s="1" t="s">
        <v>55</v>
      </c>
      <c r="M78" s="1" t="s">
        <v>55</v>
      </c>
      <c r="N78" s="1" t="s">
        <v>55</v>
      </c>
      <c r="O78" s="1" t="s">
        <v>55</v>
      </c>
      <c r="P78" s="1" t="s">
        <v>55</v>
      </c>
      <c r="Q78" s="1" t="s">
        <v>55</v>
      </c>
      <c r="R78" s="1" t="s">
        <v>55</v>
      </c>
      <c r="S78" s="1" t="s">
        <v>55</v>
      </c>
      <c r="T78" s="1" t="s">
        <v>55</v>
      </c>
      <c r="U78" s="1" t="s">
        <v>55</v>
      </c>
      <c r="V78" s="1" t="s">
        <v>55</v>
      </c>
      <c r="W78" s="1" t="s">
        <v>55</v>
      </c>
      <c r="X78" s="1" t="s">
        <v>55</v>
      </c>
      <c r="Y78" s="1" t="s">
        <v>50</v>
      </c>
      <c r="Z78" t="str">
        <f>_xll.BDP($B78,"CUST_TRR_RETURN_HOLDING_PER","CUST_TRR_START_DT","20260401","CUST_TRR_END_DT","20260430","CUST_TRR_CRNCY","USD")</f>
        <v>#N/A N/A</v>
      </c>
      <c r="AA78">
        <f>_xll.BDP($B78,"CUST_TRR_RETURN_HOLDING_PER","CUST_TRR_START_DT","20260501","CUST_TRR_END_DT","20260531","CUST_TRR_CRNCY","USD")</f>
        <v>15.434430000000001</v>
      </c>
      <c r="AB78" t="str">
        <f>_xll.BDP($B78,"CUST_TRR_RETURN_HOLDING_PER","CUST_TRR_START_DT","20260601","CUST_TRR_END_DT","20260630","CUST_TRR_CRNCY","USD")</f>
        <v>#N/A N/A</v>
      </c>
      <c r="AC78" s="1" t="s">
        <v>56</v>
      </c>
      <c r="AD78" s="1" t="s">
        <v>56</v>
      </c>
      <c r="AE78" s="1" t="s">
        <v>56</v>
      </c>
      <c r="AF78" s="1" t="s">
        <v>56</v>
      </c>
      <c r="AG78" s="1" t="s">
        <v>56</v>
      </c>
      <c r="AH78" s="1" t="s">
        <v>56</v>
      </c>
      <c r="AI78" s="1" t="s">
        <v>57</v>
      </c>
      <c r="AJ78" s="1" t="s">
        <v>57</v>
      </c>
      <c r="AK78" s="1" t="s">
        <v>56</v>
      </c>
      <c r="AL78" s="1" t="s">
        <v>522</v>
      </c>
      <c r="AM78" s="1" t="s">
        <v>57</v>
      </c>
      <c r="AN78" s="1" t="s">
        <v>56</v>
      </c>
      <c r="AO78" s="1" t="s">
        <v>523</v>
      </c>
      <c r="AP78" s="1" t="s">
        <v>57</v>
      </c>
      <c r="AQ78" s="1" t="s">
        <v>56</v>
      </c>
      <c r="AR78" s="1" t="s">
        <v>59</v>
      </c>
      <c r="AS78" s="1" t="s">
        <v>60</v>
      </c>
    </row>
    <row r="79" spans="1:45" x14ac:dyDescent="0.25">
      <c r="A79" s="1" t="s">
        <v>524</v>
      </c>
      <c r="B79" s="1" t="s">
        <v>525</v>
      </c>
      <c r="C79" s="1" t="s">
        <v>47</v>
      </c>
      <c r="D79" s="1" t="s">
        <v>48</v>
      </c>
      <c r="E79" s="1" t="s">
        <v>49</v>
      </c>
      <c r="F79" s="1" t="s">
        <v>49</v>
      </c>
      <c r="G79" s="1" t="s">
        <v>50</v>
      </c>
      <c r="H79" s="1" t="s">
        <v>51</v>
      </c>
      <c r="I79" s="1" t="s">
        <v>526</v>
      </c>
      <c r="J79" s="1" t="s">
        <v>527</v>
      </c>
      <c r="K79" s="1" t="s">
        <v>528</v>
      </c>
      <c r="L79" s="1" t="s">
        <v>55</v>
      </c>
      <c r="M79" s="1" t="s">
        <v>55</v>
      </c>
      <c r="N79" s="1" t="s">
        <v>55</v>
      </c>
      <c r="O79" s="1" t="s">
        <v>55</v>
      </c>
      <c r="P79" s="1" t="s">
        <v>55</v>
      </c>
      <c r="Q79" s="1" t="s">
        <v>55</v>
      </c>
      <c r="R79" s="1" t="s">
        <v>55</v>
      </c>
      <c r="S79" s="1" t="s">
        <v>55</v>
      </c>
      <c r="T79" s="1" t="s">
        <v>55</v>
      </c>
      <c r="U79" s="1" t="s">
        <v>55</v>
      </c>
      <c r="V79" s="1" t="s">
        <v>55</v>
      </c>
      <c r="W79" s="1" t="s">
        <v>55</v>
      </c>
      <c r="X79" s="1" t="s">
        <v>55</v>
      </c>
      <c r="Y79" s="1" t="s">
        <v>50</v>
      </c>
      <c r="Z79" t="str">
        <f>_xll.BDP($B79,"CUST_TRR_RETURN_HOLDING_PER","CUST_TRR_START_DT","20260401","CUST_TRR_END_DT","20260430","CUST_TRR_CRNCY","USD")</f>
        <v>#N/A N/A</v>
      </c>
      <c r="AA79" t="str">
        <f>_xll.BDP($B79,"CUST_TRR_RETURN_HOLDING_PER","CUST_TRR_START_DT","20260501","CUST_TRR_END_DT","20260531","CUST_TRR_CRNCY","USD")</f>
        <v>#N/A N/A</v>
      </c>
      <c r="AB79" t="str">
        <f>_xll.BDP($B79,"CUST_TRR_RETURN_HOLDING_PER","CUST_TRR_START_DT","20260601","CUST_TRR_END_DT","20260630","CUST_TRR_CRNCY","USD")</f>
        <v>#N/A N/A</v>
      </c>
      <c r="AC79" s="1" t="s">
        <v>56</v>
      </c>
      <c r="AD79" s="1" t="s">
        <v>56</v>
      </c>
      <c r="AE79" s="1" t="s">
        <v>56</v>
      </c>
      <c r="AF79" s="1" t="s">
        <v>56</v>
      </c>
      <c r="AG79" s="1" t="s">
        <v>56</v>
      </c>
      <c r="AH79" s="1" t="s">
        <v>56</v>
      </c>
      <c r="AI79" s="1" t="s">
        <v>57</v>
      </c>
      <c r="AJ79" s="1" t="s">
        <v>57</v>
      </c>
      <c r="AK79" s="1" t="s">
        <v>56</v>
      </c>
      <c r="AL79" s="1" t="s">
        <v>57</v>
      </c>
      <c r="AM79" s="1" t="s">
        <v>57</v>
      </c>
      <c r="AN79" s="1" t="s">
        <v>56</v>
      </c>
      <c r="AO79" s="1" t="s">
        <v>529</v>
      </c>
      <c r="AP79" s="1" t="s">
        <v>57</v>
      </c>
      <c r="AQ79" s="1" t="s">
        <v>56</v>
      </c>
      <c r="AR79" s="1" t="s">
        <v>89</v>
      </c>
      <c r="AS79" s="1" t="s">
        <v>90</v>
      </c>
    </row>
    <row r="80" spans="1:45" x14ac:dyDescent="0.25">
      <c r="A80" s="1" t="s">
        <v>530</v>
      </c>
      <c r="B80" s="1" t="s">
        <v>531</v>
      </c>
      <c r="C80" s="1" t="s">
        <v>47</v>
      </c>
      <c r="D80" s="1" t="s">
        <v>48</v>
      </c>
      <c r="E80" s="1" t="s">
        <v>49</v>
      </c>
      <c r="F80" s="1" t="s">
        <v>49</v>
      </c>
      <c r="G80" s="1" t="s">
        <v>50</v>
      </c>
      <c r="H80" s="1" t="s">
        <v>51</v>
      </c>
      <c r="I80" s="1" t="s">
        <v>532</v>
      </c>
      <c r="J80" s="1" t="s">
        <v>57</v>
      </c>
      <c r="K80" s="1" t="s">
        <v>532</v>
      </c>
      <c r="L80" s="1" t="s">
        <v>55</v>
      </c>
      <c r="M80" s="1" t="s">
        <v>55</v>
      </c>
      <c r="N80" s="1" t="s">
        <v>55</v>
      </c>
      <c r="O80" s="1" t="s">
        <v>55</v>
      </c>
      <c r="P80" s="1" t="s">
        <v>55</v>
      </c>
      <c r="Q80" s="1" t="s">
        <v>55</v>
      </c>
      <c r="R80" s="1" t="s">
        <v>55</v>
      </c>
      <c r="S80" s="1" t="s">
        <v>55</v>
      </c>
      <c r="T80" s="1" t="s">
        <v>55</v>
      </c>
      <c r="U80" s="1" t="s">
        <v>55</v>
      </c>
      <c r="V80" s="1" t="s">
        <v>55</v>
      </c>
      <c r="W80" s="1" t="s">
        <v>55</v>
      </c>
      <c r="X80" s="1" t="s">
        <v>55</v>
      </c>
      <c r="Y80" s="1" t="s">
        <v>50</v>
      </c>
      <c r="Z80" t="str">
        <f>_xll.BDP($B80,"CUST_TRR_RETURN_HOLDING_PER","CUST_TRR_START_DT","20260401","CUST_TRR_END_DT","20260430","CUST_TRR_CRNCY","USD")</f>
        <v>#N/A N/A</v>
      </c>
      <c r="AA80">
        <f>_xll.BDP($B80,"CUST_TRR_RETURN_HOLDING_PER","CUST_TRR_START_DT","20260501","CUST_TRR_END_DT","20260531","CUST_TRR_CRNCY","USD")</f>
        <v>0.88038090000000002</v>
      </c>
      <c r="AB80" t="str">
        <f>_xll.BDP($B80,"CUST_TRR_RETURN_HOLDING_PER","CUST_TRR_START_DT","20260601","CUST_TRR_END_DT","20260630","CUST_TRR_CRNCY","USD")</f>
        <v>#N/A N/A</v>
      </c>
      <c r="AC80" s="1" t="s">
        <v>56</v>
      </c>
      <c r="AD80" s="1" t="s">
        <v>56</v>
      </c>
      <c r="AE80" s="1" t="s">
        <v>56</v>
      </c>
      <c r="AF80" s="1" t="s">
        <v>56</v>
      </c>
      <c r="AG80" s="1" t="s">
        <v>56</v>
      </c>
      <c r="AH80" s="1" t="s">
        <v>56</v>
      </c>
      <c r="AI80" s="1" t="s">
        <v>57</v>
      </c>
      <c r="AJ80" s="1" t="s">
        <v>57</v>
      </c>
      <c r="AK80" s="1" t="s">
        <v>56</v>
      </c>
      <c r="AL80" s="1" t="s">
        <v>533</v>
      </c>
      <c r="AM80" s="1" t="s">
        <v>57</v>
      </c>
      <c r="AN80" s="1" t="s">
        <v>56</v>
      </c>
      <c r="AO80" s="1" t="s">
        <v>57</v>
      </c>
      <c r="AP80" s="1" t="s">
        <v>57</v>
      </c>
      <c r="AQ80" s="1" t="s">
        <v>56</v>
      </c>
      <c r="AR80" s="1" t="s">
        <v>59</v>
      </c>
      <c r="AS80" s="1" t="s">
        <v>60</v>
      </c>
    </row>
    <row r="81" spans="1:45" x14ac:dyDescent="0.25">
      <c r="A81" s="1" t="s">
        <v>534</v>
      </c>
      <c r="B81" s="1" t="s">
        <v>535</v>
      </c>
      <c r="C81" s="1" t="s">
        <v>47</v>
      </c>
      <c r="D81" s="1" t="s">
        <v>48</v>
      </c>
      <c r="E81" s="1" t="s">
        <v>49</v>
      </c>
      <c r="F81" s="1" t="s">
        <v>49</v>
      </c>
      <c r="G81" s="1" t="s">
        <v>50</v>
      </c>
      <c r="H81" s="1" t="s">
        <v>51</v>
      </c>
      <c r="I81" s="1" t="s">
        <v>536</v>
      </c>
      <c r="J81" s="1" t="s">
        <v>57</v>
      </c>
      <c r="K81" s="1" t="s">
        <v>536</v>
      </c>
      <c r="L81" s="1" t="s">
        <v>55</v>
      </c>
      <c r="M81" s="1" t="s">
        <v>55</v>
      </c>
      <c r="N81" s="1" t="s">
        <v>55</v>
      </c>
      <c r="O81" s="1" t="s">
        <v>55</v>
      </c>
      <c r="P81" s="1" t="s">
        <v>55</v>
      </c>
      <c r="Q81" s="1" t="s">
        <v>55</v>
      </c>
      <c r="R81" s="1" t="s">
        <v>55</v>
      </c>
      <c r="S81" s="1" t="s">
        <v>55</v>
      </c>
      <c r="T81" s="1" t="s">
        <v>55</v>
      </c>
      <c r="U81" s="1" t="s">
        <v>55</v>
      </c>
      <c r="V81" s="1" t="s">
        <v>55</v>
      </c>
      <c r="W81" s="1" t="s">
        <v>55</v>
      </c>
      <c r="X81" s="1" t="s">
        <v>55</v>
      </c>
      <c r="Y81" s="1" t="s">
        <v>50</v>
      </c>
      <c r="Z81" t="str">
        <f>_xll.BDP($B81,"CUST_TRR_RETURN_HOLDING_PER","CUST_TRR_START_DT","20260401","CUST_TRR_END_DT","20260430","CUST_TRR_CRNCY","USD")</f>
        <v>#N/A N/A</v>
      </c>
      <c r="AA81">
        <f>_xll.BDP($B81,"CUST_TRR_RETURN_HOLDING_PER","CUST_TRR_START_DT","20260501","CUST_TRR_END_DT","20260531","CUST_TRR_CRNCY","USD")</f>
        <v>1.8340890000000001</v>
      </c>
      <c r="AB81" t="str">
        <f>_xll.BDP($B81,"CUST_TRR_RETURN_HOLDING_PER","CUST_TRR_START_DT","20260601","CUST_TRR_END_DT","20260630","CUST_TRR_CRNCY","USD")</f>
        <v>#N/A N/A</v>
      </c>
      <c r="AC81" s="1" t="s">
        <v>56</v>
      </c>
      <c r="AD81" s="1" t="s">
        <v>56</v>
      </c>
      <c r="AE81" s="1" t="s">
        <v>56</v>
      </c>
      <c r="AF81" s="1" t="s">
        <v>56</v>
      </c>
      <c r="AG81" s="1" t="s">
        <v>56</v>
      </c>
      <c r="AH81" s="1" t="s">
        <v>56</v>
      </c>
      <c r="AI81" s="1" t="s">
        <v>57</v>
      </c>
      <c r="AJ81" s="1" t="s">
        <v>57</v>
      </c>
      <c r="AK81" s="1" t="s">
        <v>56</v>
      </c>
      <c r="AL81" s="1" t="s">
        <v>537</v>
      </c>
      <c r="AM81" s="1" t="s">
        <v>57</v>
      </c>
      <c r="AN81" s="1" t="s">
        <v>56</v>
      </c>
      <c r="AO81" s="1" t="s">
        <v>57</v>
      </c>
      <c r="AP81" s="1" t="s">
        <v>57</v>
      </c>
      <c r="AQ81" s="1" t="s">
        <v>56</v>
      </c>
      <c r="AR81" s="1" t="s">
        <v>59</v>
      </c>
      <c r="AS81" s="1" t="s">
        <v>60</v>
      </c>
    </row>
    <row r="82" spans="1:45" x14ac:dyDescent="0.25">
      <c r="A82" s="1" t="s">
        <v>538</v>
      </c>
      <c r="B82" s="1" t="s">
        <v>539</v>
      </c>
      <c r="C82" s="1" t="s">
        <v>47</v>
      </c>
      <c r="D82" s="1" t="s">
        <v>48</v>
      </c>
      <c r="E82" s="1" t="s">
        <v>49</v>
      </c>
      <c r="F82" s="1" t="s">
        <v>49</v>
      </c>
      <c r="G82" s="1" t="s">
        <v>50</v>
      </c>
      <c r="H82" s="1" t="s">
        <v>51</v>
      </c>
      <c r="I82" s="1" t="s">
        <v>540</v>
      </c>
      <c r="J82" s="1" t="s">
        <v>541</v>
      </c>
      <c r="K82" s="1" t="s">
        <v>542</v>
      </c>
      <c r="L82" s="1" t="s">
        <v>55</v>
      </c>
      <c r="M82" s="1" t="s">
        <v>55</v>
      </c>
      <c r="N82" s="1" t="s">
        <v>55</v>
      </c>
      <c r="O82" s="1" t="s">
        <v>55</v>
      </c>
      <c r="P82" s="1" t="s">
        <v>55</v>
      </c>
      <c r="Q82" s="1" t="s">
        <v>55</v>
      </c>
      <c r="R82" s="1" t="s">
        <v>55</v>
      </c>
      <c r="S82" s="1" t="s">
        <v>55</v>
      </c>
      <c r="T82" s="1" t="s">
        <v>55</v>
      </c>
      <c r="U82" s="1" t="s">
        <v>55</v>
      </c>
      <c r="V82" s="1" t="s">
        <v>55</v>
      </c>
      <c r="W82" s="1" t="s">
        <v>55</v>
      </c>
      <c r="X82" s="1" t="s">
        <v>55</v>
      </c>
      <c r="Y82" s="1" t="s">
        <v>50</v>
      </c>
      <c r="Z82" t="str">
        <f>_xll.BDP($B82,"CUST_TRR_RETURN_HOLDING_PER","CUST_TRR_START_DT","20260401","CUST_TRR_END_DT","20260430","CUST_TRR_CRNCY","USD")</f>
        <v>#N/A N/A</v>
      </c>
      <c r="AA82" t="str">
        <f>_xll.BDP($B82,"CUST_TRR_RETURN_HOLDING_PER","CUST_TRR_START_DT","20260501","CUST_TRR_END_DT","20260531","CUST_TRR_CRNCY","USD")</f>
        <v>#N/A N/A</v>
      </c>
      <c r="AB82" t="str">
        <f>_xll.BDP($B82,"CUST_TRR_RETURN_HOLDING_PER","CUST_TRR_START_DT","20260601","CUST_TRR_END_DT","20260630","CUST_TRR_CRNCY","USD")</f>
        <v>#N/A N/A</v>
      </c>
      <c r="AC82" s="1" t="s">
        <v>56</v>
      </c>
      <c r="AD82" s="1" t="s">
        <v>56</v>
      </c>
      <c r="AE82" s="1" t="s">
        <v>56</v>
      </c>
      <c r="AF82" s="1" t="s">
        <v>56</v>
      </c>
      <c r="AG82" s="1" t="s">
        <v>56</v>
      </c>
      <c r="AH82" s="1" t="s">
        <v>56</v>
      </c>
      <c r="AI82" s="1" t="s">
        <v>57</v>
      </c>
      <c r="AJ82" s="1" t="s">
        <v>57</v>
      </c>
      <c r="AK82" s="1" t="s">
        <v>56</v>
      </c>
      <c r="AL82" s="1" t="s">
        <v>57</v>
      </c>
      <c r="AM82" s="1" t="s">
        <v>57</v>
      </c>
      <c r="AN82" s="1" t="s">
        <v>56</v>
      </c>
      <c r="AO82" s="1" t="s">
        <v>543</v>
      </c>
      <c r="AP82" s="1" t="s">
        <v>544</v>
      </c>
      <c r="AQ82" s="1" t="s">
        <v>56</v>
      </c>
      <c r="AR82" s="1" t="s">
        <v>89</v>
      </c>
      <c r="AS82" s="1" t="s">
        <v>90</v>
      </c>
    </row>
    <row r="83" spans="1:45" x14ac:dyDescent="0.25">
      <c r="A83" s="1" t="s">
        <v>545</v>
      </c>
      <c r="B83" s="1" t="s">
        <v>546</v>
      </c>
      <c r="C83" s="1" t="s">
        <v>47</v>
      </c>
      <c r="D83" s="1" t="s">
        <v>48</v>
      </c>
      <c r="E83" s="1" t="s">
        <v>49</v>
      </c>
      <c r="F83" s="1" t="s">
        <v>49</v>
      </c>
      <c r="G83" s="1" t="s">
        <v>50</v>
      </c>
      <c r="H83" s="1" t="s">
        <v>51</v>
      </c>
      <c r="I83" s="1" t="s">
        <v>547</v>
      </c>
      <c r="J83" s="1" t="s">
        <v>548</v>
      </c>
      <c r="K83" s="1" t="s">
        <v>549</v>
      </c>
      <c r="L83" s="1" t="s">
        <v>55</v>
      </c>
      <c r="M83" s="1" t="s">
        <v>55</v>
      </c>
      <c r="N83" s="1" t="s">
        <v>55</v>
      </c>
      <c r="O83" s="1" t="s">
        <v>55</v>
      </c>
      <c r="P83" s="1" t="s">
        <v>55</v>
      </c>
      <c r="Q83" s="1" t="s">
        <v>55</v>
      </c>
      <c r="R83" s="1" t="s">
        <v>55</v>
      </c>
      <c r="S83" s="1" t="s">
        <v>55</v>
      </c>
      <c r="T83" s="1" t="s">
        <v>55</v>
      </c>
      <c r="U83" s="1" t="s">
        <v>55</v>
      </c>
      <c r="V83" s="1" t="s">
        <v>55</v>
      </c>
      <c r="W83" s="1" t="s">
        <v>55</v>
      </c>
      <c r="X83" s="1" t="s">
        <v>55</v>
      </c>
      <c r="Y83" s="1" t="s">
        <v>50</v>
      </c>
      <c r="Z83" t="str">
        <f>_xll.BDP($B83,"CUST_TRR_RETURN_HOLDING_PER","CUST_TRR_START_DT","20260401","CUST_TRR_END_DT","20260430","CUST_TRR_CRNCY","USD")</f>
        <v>#N/A N/A</v>
      </c>
      <c r="AA83">
        <f>_xll.BDP($B83,"CUST_TRR_RETURN_HOLDING_PER","CUST_TRR_START_DT","20260501","CUST_TRR_END_DT","20260531","CUST_TRR_CRNCY","USD")</f>
        <v>32.097859999999997</v>
      </c>
      <c r="AB83" t="str">
        <f>_xll.BDP($B83,"CUST_TRR_RETURN_HOLDING_PER","CUST_TRR_START_DT","20260601","CUST_TRR_END_DT","20260630","CUST_TRR_CRNCY","USD")</f>
        <v>#N/A N/A</v>
      </c>
      <c r="AC83" s="1" t="s">
        <v>56</v>
      </c>
      <c r="AD83" s="1" t="s">
        <v>56</v>
      </c>
      <c r="AE83" s="1" t="s">
        <v>56</v>
      </c>
      <c r="AF83" s="1" t="s">
        <v>56</v>
      </c>
      <c r="AG83" s="1" t="s">
        <v>56</v>
      </c>
      <c r="AH83" s="1" t="s">
        <v>56</v>
      </c>
      <c r="AI83" s="1" t="s">
        <v>57</v>
      </c>
      <c r="AJ83" s="1" t="s">
        <v>57</v>
      </c>
      <c r="AK83" s="1" t="s">
        <v>56</v>
      </c>
      <c r="AL83" s="1" t="s">
        <v>550</v>
      </c>
      <c r="AM83" s="1" t="s">
        <v>57</v>
      </c>
      <c r="AN83" s="1" t="s">
        <v>56</v>
      </c>
      <c r="AO83" s="1" t="s">
        <v>57</v>
      </c>
      <c r="AP83" s="1" t="s">
        <v>57</v>
      </c>
      <c r="AQ83" s="1" t="s">
        <v>56</v>
      </c>
      <c r="AR83" s="1" t="s">
        <v>59</v>
      </c>
      <c r="AS83" s="1" t="s">
        <v>60</v>
      </c>
    </row>
    <row r="84" spans="1:45" x14ac:dyDescent="0.25">
      <c r="A84" s="1" t="s">
        <v>551</v>
      </c>
      <c r="B84" s="1" t="s">
        <v>552</v>
      </c>
      <c r="C84" s="1" t="s">
        <v>47</v>
      </c>
      <c r="D84" s="1" t="s">
        <v>48</v>
      </c>
      <c r="E84" s="1" t="s">
        <v>49</v>
      </c>
      <c r="F84" s="1" t="s">
        <v>49</v>
      </c>
      <c r="G84" s="1" t="s">
        <v>50</v>
      </c>
      <c r="H84" s="1" t="s">
        <v>51</v>
      </c>
      <c r="I84" s="1" t="s">
        <v>553</v>
      </c>
      <c r="J84" s="1" t="s">
        <v>554</v>
      </c>
      <c r="K84" s="1" t="s">
        <v>555</v>
      </c>
      <c r="L84" s="1" t="s">
        <v>55</v>
      </c>
      <c r="M84" s="1" t="s">
        <v>55</v>
      </c>
      <c r="N84" s="1" t="s">
        <v>55</v>
      </c>
      <c r="O84" s="1" t="s">
        <v>55</v>
      </c>
      <c r="P84" s="1" t="s">
        <v>55</v>
      </c>
      <c r="Q84" s="1" t="s">
        <v>55</v>
      </c>
      <c r="R84" s="1" t="s">
        <v>55</v>
      </c>
      <c r="S84" s="1" t="s">
        <v>55</v>
      </c>
      <c r="T84" s="1" t="s">
        <v>55</v>
      </c>
      <c r="U84" s="1" t="s">
        <v>55</v>
      </c>
      <c r="V84" s="1" t="s">
        <v>55</v>
      </c>
      <c r="W84" s="1" t="s">
        <v>55</v>
      </c>
      <c r="X84" s="1" t="s">
        <v>55</v>
      </c>
      <c r="Y84" s="1" t="s">
        <v>50</v>
      </c>
      <c r="Z84" t="str">
        <f>_xll.BDP($B84,"CUST_TRR_RETURN_HOLDING_PER","CUST_TRR_START_DT","20260401","CUST_TRR_END_DT","20260430","CUST_TRR_CRNCY","USD")</f>
        <v>#N/A N/A</v>
      </c>
      <c r="AA84" t="str">
        <f>_xll.BDP($B84,"CUST_TRR_RETURN_HOLDING_PER","CUST_TRR_START_DT","20260501","CUST_TRR_END_DT","20260531","CUST_TRR_CRNCY","USD")</f>
        <v>#N/A N/A</v>
      </c>
      <c r="AB84" t="str">
        <f>_xll.BDP($B84,"CUST_TRR_RETURN_HOLDING_PER","CUST_TRR_START_DT","20260601","CUST_TRR_END_DT","20260630","CUST_TRR_CRNCY","USD")</f>
        <v>#N/A N/A</v>
      </c>
      <c r="AC84" s="1" t="s">
        <v>56</v>
      </c>
      <c r="AD84" s="1" t="s">
        <v>56</v>
      </c>
      <c r="AE84" s="1" t="s">
        <v>56</v>
      </c>
      <c r="AF84" s="1" t="s">
        <v>56</v>
      </c>
      <c r="AG84" s="1" t="s">
        <v>56</v>
      </c>
      <c r="AH84" s="1" t="s">
        <v>56</v>
      </c>
      <c r="AI84" s="1" t="s">
        <v>57</v>
      </c>
      <c r="AJ84" s="1" t="s">
        <v>57</v>
      </c>
      <c r="AK84" s="1" t="s">
        <v>56</v>
      </c>
      <c r="AL84" s="1" t="s">
        <v>57</v>
      </c>
      <c r="AM84" s="1" t="s">
        <v>57</v>
      </c>
      <c r="AN84" s="1" t="s">
        <v>56</v>
      </c>
      <c r="AO84" s="1" t="s">
        <v>556</v>
      </c>
      <c r="AP84" s="1" t="s">
        <v>557</v>
      </c>
      <c r="AQ84" s="1" t="s">
        <v>56</v>
      </c>
      <c r="AR84" s="1" t="s">
        <v>59</v>
      </c>
      <c r="AS84" s="1" t="s">
        <v>60</v>
      </c>
    </row>
    <row r="85" spans="1:45" x14ac:dyDescent="0.25">
      <c r="A85" s="1" t="s">
        <v>558</v>
      </c>
      <c r="B85" s="1" t="s">
        <v>559</v>
      </c>
      <c r="C85" s="1" t="s">
        <v>47</v>
      </c>
      <c r="D85" s="1" t="s">
        <v>48</v>
      </c>
      <c r="E85" s="1" t="s">
        <v>49</v>
      </c>
      <c r="F85" s="1" t="s">
        <v>49</v>
      </c>
      <c r="G85" s="1" t="s">
        <v>50</v>
      </c>
      <c r="H85" s="1" t="s">
        <v>51</v>
      </c>
      <c r="I85" s="1" t="s">
        <v>560</v>
      </c>
      <c r="J85" s="1" t="s">
        <v>561</v>
      </c>
      <c r="K85" s="1" t="s">
        <v>562</v>
      </c>
      <c r="L85" s="1" t="s">
        <v>55</v>
      </c>
      <c r="M85" s="1" t="s">
        <v>55</v>
      </c>
      <c r="N85" s="1" t="s">
        <v>55</v>
      </c>
      <c r="O85" s="1" t="s">
        <v>55</v>
      </c>
      <c r="P85" s="1" t="s">
        <v>55</v>
      </c>
      <c r="Q85" s="1" t="s">
        <v>55</v>
      </c>
      <c r="R85" s="1" t="s">
        <v>55</v>
      </c>
      <c r="S85" s="1" t="s">
        <v>55</v>
      </c>
      <c r="T85" s="1" t="s">
        <v>55</v>
      </c>
      <c r="U85" s="1" t="s">
        <v>55</v>
      </c>
      <c r="V85" s="1" t="s">
        <v>55</v>
      </c>
      <c r="W85" s="1" t="s">
        <v>55</v>
      </c>
      <c r="X85" s="1" t="s">
        <v>55</v>
      </c>
      <c r="Y85" s="1" t="s">
        <v>50</v>
      </c>
      <c r="Z85" t="str">
        <f>_xll.BDP($B85,"CUST_TRR_RETURN_HOLDING_PER","CUST_TRR_START_DT","20260401","CUST_TRR_END_DT","20260430","CUST_TRR_CRNCY","USD")</f>
        <v>#N/A N/A</v>
      </c>
      <c r="AA85" t="str">
        <f>_xll.BDP($B85,"CUST_TRR_RETURN_HOLDING_PER","CUST_TRR_START_DT","20260501","CUST_TRR_END_DT","20260531","CUST_TRR_CRNCY","USD")</f>
        <v>#N/A N/A</v>
      </c>
      <c r="AB85" t="str">
        <f>_xll.BDP($B85,"CUST_TRR_RETURN_HOLDING_PER","CUST_TRR_START_DT","20260601","CUST_TRR_END_DT","20260630","CUST_TRR_CRNCY","USD")</f>
        <v>#N/A N/A</v>
      </c>
      <c r="AC85" s="1" t="s">
        <v>56</v>
      </c>
      <c r="AD85" s="1" t="s">
        <v>56</v>
      </c>
      <c r="AE85" s="1" t="s">
        <v>56</v>
      </c>
      <c r="AF85" s="1" t="s">
        <v>56</v>
      </c>
      <c r="AG85" s="1" t="s">
        <v>56</v>
      </c>
      <c r="AH85" s="1" t="s">
        <v>56</v>
      </c>
      <c r="AI85" s="1" t="s">
        <v>57</v>
      </c>
      <c r="AJ85" s="1" t="s">
        <v>57</v>
      </c>
      <c r="AK85" s="1" t="s">
        <v>56</v>
      </c>
      <c r="AL85" s="1" t="s">
        <v>57</v>
      </c>
      <c r="AM85" s="1" t="s">
        <v>57</v>
      </c>
      <c r="AN85" s="1" t="s">
        <v>56</v>
      </c>
      <c r="AO85" s="1" t="s">
        <v>563</v>
      </c>
      <c r="AP85" s="1" t="s">
        <v>564</v>
      </c>
      <c r="AQ85" s="1" t="s">
        <v>56</v>
      </c>
      <c r="AR85" s="1" t="s">
        <v>59</v>
      </c>
      <c r="AS85" s="1" t="s">
        <v>60</v>
      </c>
    </row>
    <row r="86" spans="1:45" x14ac:dyDescent="0.25">
      <c r="A86" s="1" t="s">
        <v>565</v>
      </c>
      <c r="B86" s="1" t="s">
        <v>566</v>
      </c>
      <c r="C86" s="1" t="s">
        <v>47</v>
      </c>
      <c r="D86" s="1" t="s">
        <v>48</v>
      </c>
      <c r="E86" s="1" t="s">
        <v>49</v>
      </c>
      <c r="F86" s="1" t="s">
        <v>49</v>
      </c>
      <c r="G86" s="1" t="s">
        <v>50</v>
      </c>
      <c r="H86" s="1" t="s">
        <v>51</v>
      </c>
      <c r="I86" s="1" t="s">
        <v>567</v>
      </c>
      <c r="J86" s="1" t="s">
        <v>568</v>
      </c>
      <c r="K86" s="1" t="s">
        <v>569</v>
      </c>
      <c r="L86" s="1" t="s">
        <v>55</v>
      </c>
      <c r="M86" s="1" t="s">
        <v>55</v>
      </c>
      <c r="N86" s="1" t="s">
        <v>55</v>
      </c>
      <c r="O86" s="1" t="s">
        <v>55</v>
      </c>
      <c r="P86" s="1" t="s">
        <v>55</v>
      </c>
      <c r="Q86" s="1" t="s">
        <v>55</v>
      </c>
      <c r="R86" s="1" t="s">
        <v>55</v>
      </c>
      <c r="S86" s="1" t="s">
        <v>55</v>
      </c>
      <c r="T86" s="1" t="s">
        <v>55</v>
      </c>
      <c r="U86" s="1" t="s">
        <v>55</v>
      </c>
      <c r="V86" s="1" t="s">
        <v>55</v>
      </c>
      <c r="W86" s="1" t="s">
        <v>55</v>
      </c>
      <c r="X86" s="1" t="s">
        <v>55</v>
      </c>
      <c r="Y86" s="1" t="s">
        <v>50</v>
      </c>
      <c r="Z86" t="str">
        <f>_xll.BDP($B86,"CUST_TRR_RETURN_HOLDING_PER","CUST_TRR_START_DT","20260401","CUST_TRR_END_DT","20260430","CUST_TRR_CRNCY","USD")</f>
        <v>#N/A N/A</v>
      </c>
      <c r="AA86" t="str">
        <f>_xll.BDP($B86,"CUST_TRR_RETURN_HOLDING_PER","CUST_TRR_START_DT","20260501","CUST_TRR_END_DT","20260531","CUST_TRR_CRNCY","USD")</f>
        <v>#N/A N/A</v>
      </c>
      <c r="AB86" t="str">
        <f>_xll.BDP($B86,"CUST_TRR_RETURN_HOLDING_PER","CUST_TRR_START_DT","20260601","CUST_TRR_END_DT","20260630","CUST_TRR_CRNCY","USD")</f>
        <v>#N/A N/A</v>
      </c>
      <c r="AC86" s="1" t="s">
        <v>56</v>
      </c>
      <c r="AD86" s="1" t="s">
        <v>56</v>
      </c>
      <c r="AE86" s="1" t="s">
        <v>56</v>
      </c>
      <c r="AF86" s="1" t="s">
        <v>56</v>
      </c>
      <c r="AG86" s="1" t="s">
        <v>56</v>
      </c>
      <c r="AH86" s="1" t="s">
        <v>56</v>
      </c>
      <c r="AI86" s="1" t="s">
        <v>57</v>
      </c>
      <c r="AJ86" s="1" t="s">
        <v>57</v>
      </c>
      <c r="AK86" s="1" t="s">
        <v>56</v>
      </c>
      <c r="AL86" s="1" t="s">
        <v>57</v>
      </c>
      <c r="AM86" s="1" t="s">
        <v>57</v>
      </c>
      <c r="AN86" s="1" t="s">
        <v>56</v>
      </c>
      <c r="AO86" s="1" t="s">
        <v>570</v>
      </c>
      <c r="AP86" s="1" t="s">
        <v>571</v>
      </c>
      <c r="AQ86" s="1" t="s">
        <v>56</v>
      </c>
      <c r="AR86" s="1" t="s">
        <v>59</v>
      </c>
      <c r="AS86" s="1" t="s">
        <v>60</v>
      </c>
    </row>
    <row r="87" spans="1:45" x14ac:dyDescent="0.25">
      <c r="A87" s="1" t="s">
        <v>572</v>
      </c>
      <c r="B87" s="1" t="s">
        <v>573</v>
      </c>
      <c r="C87" s="1" t="s">
        <v>47</v>
      </c>
      <c r="D87" s="1" t="s">
        <v>48</v>
      </c>
      <c r="E87" s="1" t="s">
        <v>49</v>
      </c>
      <c r="F87" s="1" t="s">
        <v>49</v>
      </c>
      <c r="G87" s="1" t="s">
        <v>50</v>
      </c>
      <c r="H87" s="1" t="s">
        <v>51</v>
      </c>
      <c r="I87" s="1" t="s">
        <v>574</v>
      </c>
      <c r="J87" s="1" t="s">
        <v>575</v>
      </c>
      <c r="K87" s="1" t="s">
        <v>576</v>
      </c>
      <c r="L87" s="1" t="s">
        <v>55</v>
      </c>
      <c r="M87" s="1" t="s">
        <v>55</v>
      </c>
      <c r="N87" s="1" t="s">
        <v>55</v>
      </c>
      <c r="O87" s="1" t="s">
        <v>55</v>
      </c>
      <c r="P87" s="1" t="s">
        <v>55</v>
      </c>
      <c r="Q87" s="1" t="s">
        <v>55</v>
      </c>
      <c r="R87" s="1" t="s">
        <v>55</v>
      </c>
      <c r="S87" s="1" t="s">
        <v>55</v>
      </c>
      <c r="T87" s="1" t="s">
        <v>55</v>
      </c>
      <c r="U87" s="1" t="s">
        <v>55</v>
      </c>
      <c r="V87" s="1" t="s">
        <v>55</v>
      </c>
      <c r="W87" s="1" t="s">
        <v>55</v>
      </c>
      <c r="X87" s="1" t="s">
        <v>55</v>
      </c>
      <c r="Y87" s="1" t="s">
        <v>50</v>
      </c>
      <c r="Z87" t="str">
        <f>_xll.BDP($B87,"CUST_TRR_RETURN_HOLDING_PER","CUST_TRR_START_DT","20260401","CUST_TRR_END_DT","20260430","CUST_TRR_CRNCY","USD")</f>
        <v>#N/A N/A</v>
      </c>
      <c r="AA87" t="str">
        <f>_xll.BDP($B87,"CUST_TRR_RETURN_HOLDING_PER","CUST_TRR_START_DT","20260501","CUST_TRR_END_DT","20260531","CUST_TRR_CRNCY","USD")</f>
        <v>#N/A N/A</v>
      </c>
      <c r="AB87" t="str">
        <f>_xll.BDP($B87,"CUST_TRR_RETURN_HOLDING_PER","CUST_TRR_START_DT","20260601","CUST_TRR_END_DT","20260630","CUST_TRR_CRNCY","USD")</f>
        <v>#N/A N/A</v>
      </c>
      <c r="AC87" s="1" t="s">
        <v>56</v>
      </c>
      <c r="AD87" s="1" t="s">
        <v>56</v>
      </c>
      <c r="AE87" s="1" t="s">
        <v>56</v>
      </c>
      <c r="AF87" s="1" t="s">
        <v>56</v>
      </c>
      <c r="AG87" s="1" t="s">
        <v>56</v>
      </c>
      <c r="AH87" s="1" t="s">
        <v>56</v>
      </c>
      <c r="AI87" s="1" t="s">
        <v>57</v>
      </c>
      <c r="AJ87" s="1" t="s">
        <v>57</v>
      </c>
      <c r="AK87" s="1" t="s">
        <v>56</v>
      </c>
      <c r="AL87" s="1" t="s">
        <v>57</v>
      </c>
      <c r="AM87" s="1" t="s">
        <v>57</v>
      </c>
      <c r="AN87" s="1" t="s">
        <v>56</v>
      </c>
      <c r="AO87" s="1" t="s">
        <v>577</v>
      </c>
      <c r="AP87" s="1" t="s">
        <v>57</v>
      </c>
      <c r="AQ87" s="1" t="s">
        <v>56</v>
      </c>
      <c r="AR87" s="1" t="s">
        <v>56</v>
      </c>
      <c r="AS87" s="1" t="s">
        <v>56</v>
      </c>
    </row>
    <row r="88" spans="1:45" x14ac:dyDescent="0.25">
      <c r="A88" s="1" t="s">
        <v>578</v>
      </c>
      <c r="B88" s="1" t="s">
        <v>579</v>
      </c>
      <c r="C88" s="1" t="s">
        <v>47</v>
      </c>
      <c r="D88" s="1" t="s">
        <v>48</v>
      </c>
      <c r="E88" s="1" t="s">
        <v>49</v>
      </c>
      <c r="F88" s="1" t="s">
        <v>49</v>
      </c>
      <c r="G88" s="1" t="s">
        <v>50</v>
      </c>
      <c r="H88" s="1" t="s">
        <v>51</v>
      </c>
      <c r="I88" s="1" t="s">
        <v>580</v>
      </c>
      <c r="J88" s="1" t="s">
        <v>581</v>
      </c>
      <c r="K88" s="1" t="s">
        <v>582</v>
      </c>
      <c r="L88" s="1" t="s">
        <v>55</v>
      </c>
      <c r="M88" s="1" t="s">
        <v>55</v>
      </c>
      <c r="N88" s="1" t="s">
        <v>55</v>
      </c>
      <c r="O88" s="1" t="s">
        <v>55</v>
      </c>
      <c r="P88" s="1" t="s">
        <v>55</v>
      </c>
      <c r="Q88" s="1" t="s">
        <v>55</v>
      </c>
      <c r="R88" s="1" t="s">
        <v>55</v>
      </c>
      <c r="S88" s="1" t="s">
        <v>55</v>
      </c>
      <c r="T88" s="1" t="s">
        <v>55</v>
      </c>
      <c r="U88" s="1" t="s">
        <v>55</v>
      </c>
      <c r="V88" s="1" t="s">
        <v>55</v>
      </c>
      <c r="W88" s="1" t="s">
        <v>55</v>
      </c>
      <c r="X88" s="1" t="s">
        <v>55</v>
      </c>
      <c r="Y88" s="1" t="s">
        <v>50</v>
      </c>
      <c r="Z88" t="str">
        <f>_xll.BDP($B88,"CUST_TRR_RETURN_HOLDING_PER","CUST_TRR_START_DT","20260401","CUST_TRR_END_DT","20260430","CUST_TRR_CRNCY","USD")</f>
        <v>#N/A N/A</v>
      </c>
      <c r="AA88" t="str">
        <f>_xll.BDP($B88,"CUST_TRR_RETURN_HOLDING_PER","CUST_TRR_START_DT","20260501","CUST_TRR_END_DT","20260531","CUST_TRR_CRNCY","USD")</f>
        <v>#N/A N/A</v>
      </c>
      <c r="AB88" t="str">
        <f>_xll.BDP($B88,"CUST_TRR_RETURN_HOLDING_PER","CUST_TRR_START_DT","20260601","CUST_TRR_END_DT","20260630","CUST_TRR_CRNCY","USD")</f>
        <v>#N/A N/A</v>
      </c>
      <c r="AC88" s="1" t="s">
        <v>56</v>
      </c>
      <c r="AD88" s="1" t="s">
        <v>56</v>
      </c>
      <c r="AE88" s="1" t="s">
        <v>56</v>
      </c>
      <c r="AF88" s="1" t="s">
        <v>56</v>
      </c>
      <c r="AG88" s="1" t="s">
        <v>56</v>
      </c>
      <c r="AH88" s="1" t="s">
        <v>56</v>
      </c>
      <c r="AI88" s="1" t="s">
        <v>57</v>
      </c>
      <c r="AJ88" s="1" t="s">
        <v>57</v>
      </c>
      <c r="AK88" s="1" t="s">
        <v>56</v>
      </c>
      <c r="AL88" s="1" t="s">
        <v>57</v>
      </c>
      <c r="AM88" s="1" t="s">
        <v>57</v>
      </c>
      <c r="AN88" s="1" t="s">
        <v>56</v>
      </c>
      <c r="AO88" s="1" t="s">
        <v>58</v>
      </c>
      <c r="AP88" s="1" t="s">
        <v>57</v>
      </c>
      <c r="AQ88" s="1" t="s">
        <v>56</v>
      </c>
      <c r="AR88" s="1" t="s">
        <v>59</v>
      </c>
      <c r="AS88" s="1" t="s">
        <v>60</v>
      </c>
    </row>
    <row r="89" spans="1:45" x14ac:dyDescent="0.25">
      <c r="A89" s="1" t="s">
        <v>583</v>
      </c>
      <c r="B89" s="1" t="s">
        <v>584</v>
      </c>
      <c r="C89" s="1" t="s">
        <v>47</v>
      </c>
      <c r="D89" s="1" t="s">
        <v>48</v>
      </c>
      <c r="E89" s="1" t="s">
        <v>49</v>
      </c>
      <c r="F89" s="1" t="s">
        <v>49</v>
      </c>
      <c r="G89" s="1" t="s">
        <v>50</v>
      </c>
      <c r="H89" s="1" t="s">
        <v>51</v>
      </c>
      <c r="I89" s="1" t="s">
        <v>585</v>
      </c>
      <c r="J89" s="1" t="s">
        <v>586</v>
      </c>
      <c r="K89" s="1" t="s">
        <v>587</v>
      </c>
      <c r="L89" s="1" t="s">
        <v>55</v>
      </c>
      <c r="M89" s="1" t="s">
        <v>55</v>
      </c>
      <c r="N89" s="1" t="s">
        <v>55</v>
      </c>
      <c r="O89" s="1" t="s">
        <v>55</v>
      </c>
      <c r="P89" s="1" t="s">
        <v>55</v>
      </c>
      <c r="Q89" s="1" t="s">
        <v>55</v>
      </c>
      <c r="R89" s="1" t="s">
        <v>55</v>
      </c>
      <c r="S89" s="1" t="s">
        <v>55</v>
      </c>
      <c r="T89" s="1" t="s">
        <v>55</v>
      </c>
      <c r="U89" s="1" t="s">
        <v>55</v>
      </c>
      <c r="V89" s="1" t="s">
        <v>55</v>
      </c>
      <c r="W89" s="1" t="s">
        <v>55</v>
      </c>
      <c r="X89" s="1" t="s">
        <v>55</v>
      </c>
      <c r="Y89" s="1" t="s">
        <v>50</v>
      </c>
      <c r="Z89" t="str">
        <f>_xll.BDP($B89,"CUST_TRR_RETURN_HOLDING_PER","CUST_TRR_START_DT","20260401","CUST_TRR_END_DT","20260430","CUST_TRR_CRNCY","USD")</f>
        <v>#N/A N/A</v>
      </c>
      <c r="AA89" t="str">
        <f>_xll.BDP($B89,"CUST_TRR_RETURN_HOLDING_PER","CUST_TRR_START_DT","20260501","CUST_TRR_END_DT","20260531","CUST_TRR_CRNCY","USD")</f>
        <v>#N/A N/A</v>
      </c>
      <c r="AB89" t="str">
        <f>_xll.BDP($B89,"CUST_TRR_RETURN_HOLDING_PER","CUST_TRR_START_DT","20260601","CUST_TRR_END_DT","20260630","CUST_TRR_CRNCY","USD")</f>
        <v>#N/A N/A</v>
      </c>
      <c r="AC89" s="1" t="s">
        <v>56</v>
      </c>
      <c r="AD89" s="1" t="s">
        <v>56</v>
      </c>
      <c r="AE89" s="1" t="s">
        <v>56</v>
      </c>
      <c r="AF89" s="1" t="s">
        <v>56</v>
      </c>
      <c r="AG89" s="1" t="s">
        <v>56</v>
      </c>
      <c r="AH89" s="1" t="s">
        <v>56</v>
      </c>
      <c r="AI89" s="1" t="s">
        <v>57</v>
      </c>
      <c r="AJ89" s="1" t="s">
        <v>57</v>
      </c>
      <c r="AK89" s="1" t="s">
        <v>56</v>
      </c>
      <c r="AL89" s="1" t="s">
        <v>57</v>
      </c>
      <c r="AM89" s="1" t="s">
        <v>57</v>
      </c>
      <c r="AN89" s="1" t="s">
        <v>56</v>
      </c>
      <c r="AO89" s="1" t="s">
        <v>588</v>
      </c>
      <c r="AP89" s="1" t="s">
        <v>589</v>
      </c>
      <c r="AQ89" s="1" t="s">
        <v>56</v>
      </c>
      <c r="AR89" s="1" t="s">
        <v>59</v>
      </c>
      <c r="AS89" s="1" t="s">
        <v>60</v>
      </c>
    </row>
    <row r="90" spans="1:45" x14ac:dyDescent="0.25">
      <c r="A90" s="1" t="s">
        <v>590</v>
      </c>
      <c r="B90" s="1" t="s">
        <v>591</v>
      </c>
      <c r="C90" s="1" t="s">
        <v>47</v>
      </c>
      <c r="D90" s="1" t="s">
        <v>48</v>
      </c>
      <c r="E90" s="1" t="s">
        <v>49</v>
      </c>
      <c r="F90" s="1" t="s">
        <v>49</v>
      </c>
      <c r="G90" s="1" t="s">
        <v>50</v>
      </c>
      <c r="H90" s="1" t="s">
        <v>51</v>
      </c>
      <c r="I90" s="1" t="s">
        <v>592</v>
      </c>
      <c r="J90" s="1" t="s">
        <v>593</v>
      </c>
      <c r="K90" s="1" t="s">
        <v>594</v>
      </c>
      <c r="L90" s="1" t="s">
        <v>55</v>
      </c>
      <c r="M90" s="1" t="s">
        <v>55</v>
      </c>
      <c r="N90" s="1" t="s">
        <v>55</v>
      </c>
      <c r="O90" s="1" t="s">
        <v>55</v>
      </c>
      <c r="P90" s="1" t="s">
        <v>55</v>
      </c>
      <c r="Q90" s="1" t="s">
        <v>55</v>
      </c>
      <c r="R90" s="1" t="s">
        <v>55</v>
      </c>
      <c r="S90" s="1" t="s">
        <v>55</v>
      </c>
      <c r="T90" s="1" t="s">
        <v>55</v>
      </c>
      <c r="U90" s="1" t="s">
        <v>55</v>
      </c>
      <c r="V90" s="1" t="s">
        <v>55</v>
      </c>
      <c r="W90" s="1" t="s">
        <v>55</v>
      </c>
      <c r="X90" s="1" t="s">
        <v>55</v>
      </c>
      <c r="Y90" s="1" t="s">
        <v>50</v>
      </c>
      <c r="Z90" t="str">
        <f>_xll.BDP($B90,"CUST_TRR_RETURN_HOLDING_PER","CUST_TRR_START_DT","20260401","CUST_TRR_END_DT","20260430","CUST_TRR_CRNCY","USD")</f>
        <v>#N/A N/A</v>
      </c>
      <c r="AA90" t="str">
        <f>_xll.BDP($B90,"CUST_TRR_RETURN_HOLDING_PER","CUST_TRR_START_DT","20260501","CUST_TRR_END_DT","20260531","CUST_TRR_CRNCY","USD")</f>
        <v>#N/A N/A</v>
      </c>
      <c r="AB90" t="str">
        <f>_xll.BDP($B90,"CUST_TRR_RETURN_HOLDING_PER","CUST_TRR_START_DT","20260601","CUST_TRR_END_DT","20260630","CUST_TRR_CRNCY","USD")</f>
        <v>#N/A N/A</v>
      </c>
      <c r="AC90" s="1" t="s">
        <v>56</v>
      </c>
      <c r="AD90" s="1" t="s">
        <v>56</v>
      </c>
      <c r="AE90" s="1" t="s">
        <v>56</v>
      </c>
      <c r="AF90" s="1" t="s">
        <v>56</v>
      </c>
      <c r="AG90" s="1" t="s">
        <v>56</v>
      </c>
      <c r="AH90" s="1" t="s">
        <v>56</v>
      </c>
      <c r="AI90" s="1" t="s">
        <v>57</v>
      </c>
      <c r="AJ90" s="1" t="s">
        <v>57</v>
      </c>
      <c r="AK90" s="1" t="s">
        <v>56</v>
      </c>
      <c r="AL90" s="1" t="s">
        <v>57</v>
      </c>
      <c r="AM90" s="1" t="s">
        <v>57</v>
      </c>
      <c r="AN90" s="1" t="s">
        <v>56</v>
      </c>
      <c r="AO90" s="1" t="s">
        <v>595</v>
      </c>
      <c r="AP90" s="1" t="s">
        <v>596</v>
      </c>
      <c r="AQ90" s="1" t="s">
        <v>56</v>
      </c>
      <c r="AR90" s="1" t="s">
        <v>59</v>
      </c>
      <c r="AS90" s="1" t="s">
        <v>60</v>
      </c>
    </row>
    <row r="91" spans="1:45" x14ac:dyDescent="0.25">
      <c r="A91" s="1" t="s">
        <v>597</v>
      </c>
      <c r="B91" s="1" t="s">
        <v>598</v>
      </c>
      <c r="C91" s="1" t="s">
        <v>47</v>
      </c>
      <c r="D91" s="1" t="s">
        <v>48</v>
      </c>
      <c r="E91" s="1" t="s">
        <v>49</v>
      </c>
      <c r="F91" s="1" t="s">
        <v>49</v>
      </c>
      <c r="G91" s="1" t="s">
        <v>50</v>
      </c>
      <c r="H91" s="1" t="s">
        <v>51</v>
      </c>
      <c r="I91" s="1" t="s">
        <v>599</v>
      </c>
      <c r="J91" s="1" t="s">
        <v>600</v>
      </c>
      <c r="K91" s="1" t="s">
        <v>601</v>
      </c>
      <c r="L91" s="1" t="s">
        <v>55</v>
      </c>
      <c r="M91" s="1" t="s">
        <v>55</v>
      </c>
      <c r="N91" s="1" t="s">
        <v>55</v>
      </c>
      <c r="O91" s="1" t="s">
        <v>55</v>
      </c>
      <c r="P91" s="1" t="s">
        <v>55</v>
      </c>
      <c r="Q91" s="1" t="s">
        <v>55</v>
      </c>
      <c r="R91" s="1" t="s">
        <v>55</v>
      </c>
      <c r="S91" s="1" t="s">
        <v>55</v>
      </c>
      <c r="T91" s="1" t="s">
        <v>55</v>
      </c>
      <c r="U91" s="1" t="s">
        <v>55</v>
      </c>
      <c r="V91" s="1" t="s">
        <v>55</v>
      </c>
      <c r="W91" s="1" t="s">
        <v>55</v>
      </c>
      <c r="X91" s="1" t="s">
        <v>55</v>
      </c>
      <c r="Y91" s="1" t="s">
        <v>50</v>
      </c>
      <c r="Z91" t="str">
        <f>_xll.BDP($B91,"CUST_TRR_RETURN_HOLDING_PER","CUST_TRR_START_DT","20260401","CUST_TRR_END_DT","20260430","CUST_TRR_CRNCY","USD")</f>
        <v>#N/A N/A</v>
      </c>
      <c r="AA91" t="str">
        <f>_xll.BDP($B91,"CUST_TRR_RETURN_HOLDING_PER","CUST_TRR_START_DT","20260501","CUST_TRR_END_DT","20260531","CUST_TRR_CRNCY","USD")</f>
        <v>#N/A N/A</v>
      </c>
      <c r="AB91" t="str">
        <f>_xll.BDP($B91,"CUST_TRR_RETURN_HOLDING_PER","CUST_TRR_START_DT","20260601","CUST_TRR_END_DT","20260630","CUST_TRR_CRNCY","USD")</f>
        <v>#N/A N/A</v>
      </c>
      <c r="AC91" s="1" t="s">
        <v>56</v>
      </c>
      <c r="AD91" s="1" t="s">
        <v>56</v>
      </c>
      <c r="AE91" s="1" t="s">
        <v>56</v>
      </c>
      <c r="AF91" s="1" t="s">
        <v>56</v>
      </c>
      <c r="AG91" s="1" t="s">
        <v>56</v>
      </c>
      <c r="AH91" s="1" t="s">
        <v>56</v>
      </c>
      <c r="AI91" s="1" t="s">
        <v>57</v>
      </c>
      <c r="AJ91" s="1" t="s">
        <v>57</v>
      </c>
      <c r="AK91" s="1" t="s">
        <v>56</v>
      </c>
      <c r="AL91" s="1" t="s">
        <v>57</v>
      </c>
      <c r="AM91" s="1" t="s">
        <v>57</v>
      </c>
      <c r="AN91" s="1" t="s">
        <v>56</v>
      </c>
      <c r="AO91" s="1" t="s">
        <v>602</v>
      </c>
      <c r="AP91" s="1" t="s">
        <v>57</v>
      </c>
      <c r="AQ91" s="1" t="s">
        <v>56</v>
      </c>
      <c r="AR91" s="1" t="s">
        <v>59</v>
      </c>
      <c r="AS91" s="1" t="s">
        <v>60</v>
      </c>
    </row>
    <row r="92" spans="1:45" x14ac:dyDescent="0.25">
      <c r="A92" s="1" t="s">
        <v>603</v>
      </c>
      <c r="B92" s="1" t="s">
        <v>604</v>
      </c>
      <c r="C92" s="1" t="s">
        <v>47</v>
      </c>
      <c r="D92" s="1" t="s">
        <v>48</v>
      </c>
      <c r="E92" s="1" t="s">
        <v>49</v>
      </c>
      <c r="F92" s="1" t="s">
        <v>49</v>
      </c>
      <c r="G92" s="1" t="s">
        <v>50</v>
      </c>
      <c r="H92" s="1" t="s">
        <v>51</v>
      </c>
      <c r="I92" s="1" t="s">
        <v>605</v>
      </c>
      <c r="J92" s="1" t="s">
        <v>606</v>
      </c>
      <c r="K92" s="1" t="s">
        <v>607</v>
      </c>
      <c r="L92" s="1" t="s">
        <v>55</v>
      </c>
      <c r="M92" s="1" t="s">
        <v>55</v>
      </c>
      <c r="N92" s="1" t="s">
        <v>55</v>
      </c>
      <c r="O92" s="1" t="s">
        <v>55</v>
      </c>
      <c r="P92" s="1" t="s">
        <v>55</v>
      </c>
      <c r="Q92" s="1" t="s">
        <v>55</v>
      </c>
      <c r="R92" s="1" t="s">
        <v>55</v>
      </c>
      <c r="S92" s="1" t="s">
        <v>55</v>
      </c>
      <c r="T92" s="1" t="s">
        <v>55</v>
      </c>
      <c r="U92" s="1" t="s">
        <v>55</v>
      </c>
      <c r="V92" s="1" t="s">
        <v>55</v>
      </c>
      <c r="W92" s="1" t="s">
        <v>55</v>
      </c>
      <c r="X92" s="1" t="s">
        <v>55</v>
      </c>
      <c r="Y92" s="1" t="s">
        <v>50</v>
      </c>
      <c r="Z92" t="str">
        <f>_xll.BDP($B92,"CUST_TRR_RETURN_HOLDING_PER","CUST_TRR_START_DT","20260401","CUST_TRR_END_DT","20260430","CUST_TRR_CRNCY","USD")</f>
        <v>#N/A N/A</v>
      </c>
      <c r="AA92" t="str">
        <f>_xll.BDP($B92,"CUST_TRR_RETURN_HOLDING_PER","CUST_TRR_START_DT","20260501","CUST_TRR_END_DT","20260531","CUST_TRR_CRNCY","USD")</f>
        <v>#N/A N/A</v>
      </c>
      <c r="AB92" t="str">
        <f>_xll.BDP($B92,"CUST_TRR_RETURN_HOLDING_PER","CUST_TRR_START_DT","20260601","CUST_TRR_END_DT","20260630","CUST_TRR_CRNCY","USD")</f>
        <v>#N/A N/A</v>
      </c>
      <c r="AC92" s="1" t="s">
        <v>56</v>
      </c>
      <c r="AD92" s="1" t="s">
        <v>56</v>
      </c>
      <c r="AE92" s="1" t="s">
        <v>56</v>
      </c>
      <c r="AF92" s="1" t="s">
        <v>56</v>
      </c>
      <c r="AG92" s="1" t="s">
        <v>56</v>
      </c>
      <c r="AH92" s="1" t="s">
        <v>56</v>
      </c>
      <c r="AI92" s="1" t="s">
        <v>57</v>
      </c>
      <c r="AJ92" s="1" t="s">
        <v>57</v>
      </c>
      <c r="AK92" s="1" t="s">
        <v>56</v>
      </c>
      <c r="AL92" s="1" t="s">
        <v>57</v>
      </c>
      <c r="AM92" s="1" t="s">
        <v>57</v>
      </c>
      <c r="AN92" s="1" t="s">
        <v>56</v>
      </c>
      <c r="AO92" s="1" t="s">
        <v>608</v>
      </c>
      <c r="AP92" s="1" t="s">
        <v>609</v>
      </c>
      <c r="AQ92" s="1" t="s">
        <v>56</v>
      </c>
      <c r="AR92" s="1" t="s">
        <v>59</v>
      </c>
      <c r="AS92" s="1" t="s">
        <v>60</v>
      </c>
    </row>
    <row r="93" spans="1:45" x14ac:dyDescent="0.25">
      <c r="A93" s="1" t="s">
        <v>610</v>
      </c>
      <c r="B93" s="1" t="s">
        <v>611</v>
      </c>
      <c r="C93" s="1" t="s">
        <v>47</v>
      </c>
      <c r="D93" s="1" t="s">
        <v>48</v>
      </c>
      <c r="E93" s="1" t="s">
        <v>49</v>
      </c>
      <c r="F93" s="1" t="s">
        <v>49</v>
      </c>
      <c r="G93" s="1" t="s">
        <v>50</v>
      </c>
      <c r="H93" s="1" t="s">
        <v>51</v>
      </c>
      <c r="I93" s="1" t="s">
        <v>612</v>
      </c>
      <c r="J93" s="1" t="s">
        <v>613</v>
      </c>
      <c r="K93" s="1" t="s">
        <v>614</v>
      </c>
      <c r="L93" s="1" t="s">
        <v>55</v>
      </c>
      <c r="M93" s="1" t="s">
        <v>55</v>
      </c>
      <c r="N93" s="1" t="s">
        <v>55</v>
      </c>
      <c r="O93" s="1" t="s">
        <v>55</v>
      </c>
      <c r="P93" s="1" t="s">
        <v>55</v>
      </c>
      <c r="Q93" s="1" t="s">
        <v>55</v>
      </c>
      <c r="R93" s="1" t="s">
        <v>55</v>
      </c>
      <c r="S93" s="1" t="s">
        <v>55</v>
      </c>
      <c r="T93" s="1" t="s">
        <v>55</v>
      </c>
      <c r="U93" s="1" t="s">
        <v>55</v>
      </c>
      <c r="V93" s="1" t="s">
        <v>55</v>
      </c>
      <c r="W93" s="1" t="s">
        <v>55</v>
      </c>
      <c r="X93" s="1" t="s">
        <v>55</v>
      </c>
      <c r="Y93" s="1" t="s">
        <v>50</v>
      </c>
      <c r="Z93" t="str">
        <f>_xll.BDP($B93,"CUST_TRR_RETURN_HOLDING_PER","CUST_TRR_START_DT","20260401","CUST_TRR_END_DT","20260430","CUST_TRR_CRNCY","USD")</f>
        <v>#N/A N/A</v>
      </c>
      <c r="AA93" t="str">
        <f>_xll.BDP($B93,"CUST_TRR_RETURN_HOLDING_PER","CUST_TRR_START_DT","20260501","CUST_TRR_END_DT","20260531","CUST_TRR_CRNCY","USD")</f>
        <v>#N/A N/A</v>
      </c>
      <c r="AB93" t="str">
        <f>_xll.BDP($B93,"CUST_TRR_RETURN_HOLDING_PER","CUST_TRR_START_DT","20260601","CUST_TRR_END_DT","20260630","CUST_TRR_CRNCY","USD")</f>
        <v>#N/A N/A</v>
      </c>
      <c r="AC93" s="1" t="s">
        <v>56</v>
      </c>
      <c r="AD93" s="1" t="s">
        <v>56</v>
      </c>
      <c r="AE93" s="1" t="s">
        <v>56</v>
      </c>
      <c r="AF93" s="1" t="s">
        <v>56</v>
      </c>
      <c r="AG93" s="1" t="s">
        <v>56</v>
      </c>
      <c r="AH93" s="1" t="s">
        <v>56</v>
      </c>
      <c r="AI93" s="1" t="s">
        <v>57</v>
      </c>
      <c r="AJ93" s="1" t="s">
        <v>57</v>
      </c>
      <c r="AK93" s="1" t="s">
        <v>56</v>
      </c>
      <c r="AL93" s="1" t="s">
        <v>57</v>
      </c>
      <c r="AM93" s="1" t="s">
        <v>57</v>
      </c>
      <c r="AN93" s="1" t="s">
        <v>56</v>
      </c>
      <c r="AO93" s="1" t="s">
        <v>615</v>
      </c>
      <c r="AP93" s="1" t="s">
        <v>57</v>
      </c>
      <c r="AQ93" s="1" t="s">
        <v>56</v>
      </c>
      <c r="AR93" s="1" t="s">
        <v>59</v>
      </c>
      <c r="AS93" s="1" t="s">
        <v>60</v>
      </c>
    </row>
    <row r="94" spans="1:45" x14ac:dyDescent="0.25">
      <c r="A94" s="1" t="s">
        <v>616</v>
      </c>
      <c r="B94" s="1" t="s">
        <v>617</v>
      </c>
      <c r="C94" s="1" t="s">
        <v>47</v>
      </c>
      <c r="D94" s="1" t="s">
        <v>48</v>
      </c>
      <c r="E94" s="1" t="s">
        <v>49</v>
      </c>
      <c r="F94" s="1" t="s">
        <v>49</v>
      </c>
      <c r="G94" s="1" t="s">
        <v>50</v>
      </c>
      <c r="H94" s="1" t="s">
        <v>51</v>
      </c>
      <c r="I94" s="1" t="s">
        <v>618</v>
      </c>
      <c r="J94" s="1" t="s">
        <v>619</v>
      </c>
      <c r="K94" s="1" t="s">
        <v>620</v>
      </c>
      <c r="L94" s="1" t="s">
        <v>55</v>
      </c>
      <c r="M94" s="1" t="s">
        <v>55</v>
      </c>
      <c r="N94" s="1" t="s">
        <v>55</v>
      </c>
      <c r="O94" s="1" t="s">
        <v>55</v>
      </c>
      <c r="P94" s="1" t="s">
        <v>55</v>
      </c>
      <c r="Q94" s="1" t="s">
        <v>55</v>
      </c>
      <c r="R94" s="1" t="s">
        <v>55</v>
      </c>
      <c r="S94" s="1" t="s">
        <v>55</v>
      </c>
      <c r="T94" s="1" t="s">
        <v>55</v>
      </c>
      <c r="U94" s="1" t="s">
        <v>55</v>
      </c>
      <c r="V94" s="1" t="s">
        <v>55</v>
      </c>
      <c r="W94" s="1" t="s">
        <v>55</v>
      </c>
      <c r="X94" s="1" t="s">
        <v>55</v>
      </c>
      <c r="Y94" s="1" t="s">
        <v>50</v>
      </c>
      <c r="Z94" t="str">
        <f>_xll.BDP($B94,"CUST_TRR_RETURN_HOLDING_PER","CUST_TRR_START_DT","20260401","CUST_TRR_END_DT","20260430","CUST_TRR_CRNCY","USD")</f>
        <v>#N/A N/A</v>
      </c>
      <c r="AA94" t="str">
        <f>_xll.BDP($B94,"CUST_TRR_RETURN_HOLDING_PER","CUST_TRR_START_DT","20260501","CUST_TRR_END_DT","20260531","CUST_TRR_CRNCY","USD")</f>
        <v>#N/A N/A</v>
      </c>
      <c r="AB94" t="str">
        <f>_xll.BDP($B94,"CUST_TRR_RETURN_HOLDING_PER","CUST_TRR_START_DT","20260601","CUST_TRR_END_DT","20260630","CUST_TRR_CRNCY","USD")</f>
        <v>#N/A N/A</v>
      </c>
      <c r="AC94" s="1" t="s">
        <v>56</v>
      </c>
      <c r="AD94" s="1" t="s">
        <v>56</v>
      </c>
      <c r="AE94" s="1" t="s">
        <v>56</v>
      </c>
      <c r="AF94" s="1" t="s">
        <v>56</v>
      </c>
      <c r="AG94" s="1" t="s">
        <v>56</v>
      </c>
      <c r="AH94" s="1" t="s">
        <v>56</v>
      </c>
      <c r="AI94" s="1" t="s">
        <v>57</v>
      </c>
      <c r="AJ94" s="1" t="s">
        <v>57</v>
      </c>
      <c r="AK94" s="1" t="s">
        <v>56</v>
      </c>
      <c r="AL94" s="1" t="s">
        <v>57</v>
      </c>
      <c r="AM94" s="1" t="s">
        <v>57</v>
      </c>
      <c r="AN94" s="1" t="s">
        <v>56</v>
      </c>
      <c r="AO94" s="1" t="s">
        <v>621</v>
      </c>
      <c r="AP94" s="1" t="s">
        <v>622</v>
      </c>
      <c r="AQ94" s="1" t="s">
        <v>56</v>
      </c>
      <c r="AR94" s="1" t="s">
        <v>56</v>
      </c>
      <c r="AS94" s="1" t="s">
        <v>56</v>
      </c>
    </row>
    <row r="95" spans="1:45" x14ac:dyDescent="0.25">
      <c r="A95" s="1" t="s">
        <v>623</v>
      </c>
      <c r="B95" s="1" t="s">
        <v>624</v>
      </c>
      <c r="C95" s="1" t="s">
        <v>47</v>
      </c>
      <c r="D95" s="1" t="s">
        <v>48</v>
      </c>
      <c r="E95" s="1" t="s">
        <v>49</v>
      </c>
      <c r="F95" s="1" t="s">
        <v>49</v>
      </c>
      <c r="G95" s="1" t="s">
        <v>50</v>
      </c>
      <c r="H95" s="1" t="s">
        <v>51</v>
      </c>
      <c r="I95" s="1" t="s">
        <v>625</v>
      </c>
      <c r="J95" s="1" t="s">
        <v>626</v>
      </c>
      <c r="K95" s="1" t="s">
        <v>627</v>
      </c>
      <c r="L95" s="1" t="s">
        <v>55</v>
      </c>
      <c r="M95" s="1" t="s">
        <v>55</v>
      </c>
      <c r="N95" s="1" t="s">
        <v>55</v>
      </c>
      <c r="O95" s="1" t="s">
        <v>55</v>
      </c>
      <c r="P95" s="1" t="s">
        <v>55</v>
      </c>
      <c r="Q95" s="1" t="s">
        <v>55</v>
      </c>
      <c r="R95" s="1" t="s">
        <v>55</v>
      </c>
      <c r="S95" s="1" t="s">
        <v>55</v>
      </c>
      <c r="T95" s="1" t="s">
        <v>55</v>
      </c>
      <c r="U95" s="1" t="s">
        <v>55</v>
      </c>
      <c r="V95" s="1" t="s">
        <v>55</v>
      </c>
      <c r="W95" s="1" t="s">
        <v>55</v>
      </c>
      <c r="X95" s="1" t="s">
        <v>55</v>
      </c>
      <c r="Y95" s="1" t="s">
        <v>50</v>
      </c>
      <c r="Z95" t="str">
        <f>_xll.BDP($B95,"CUST_TRR_RETURN_HOLDING_PER","CUST_TRR_START_DT","20260401","CUST_TRR_END_DT","20260430","CUST_TRR_CRNCY","USD")</f>
        <v>#N/A N/A</v>
      </c>
      <c r="AA95" t="str">
        <f>_xll.BDP($B95,"CUST_TRR_RETURN_HOLDING_PER","CUST_TRR_START_DT","20260501","CUST_TRR_END_DT","20260531","CUST_TRR_CRNCY","USD")</f>
        <v>#N/A N/A</v>
      </c>
      <c r="AB95" t="str">
        <f>_xll.BDP($B95,"CUST_TRR_RETURN_HOLDING_PER","CUST_TRR_START_DT","20260601","CUST_TRR_END_DT","20260630","CUST_TRR_CRNCY","USD")</f>
        <v>#N/A N/A</v>
      </c>
      <c r="AC95" s="1" t="s">
        <v>56</v>
      </c>
      <c r="AD95" s="1" t="s">
        <v>56</v>
      </c>
      <c r="AE95" s="1" t="s">
        <v>56</v>
      </c>
      <c r="AF95" s="1" t="s">
        <v>56</v>
      </c>
      <c r="AG95" s="1" t="s">
        <v>56</v>
      </c>
      <c r="AH95" s="1" t="s">
        <v>56</v>
      </c>
      <c r="AI95" s="1" t="s">
        <v>57</v>
      </c>
      <c r="AJ95" s="1" t="s">
        <v>57</v>
      </c>
      <c r="AK95" s="1" t="s">
        <v>56</v>
      </c>
      <c r="AL95" s="1" t="s">
        <v>57</v>
      </c>
      <c r="AM95" s="1" t="s">
        <v>57</v>
      </c>
      <c r="AN95" s="1" t="s">
        <v>56</v>
      </c>
      <c r="AO95" s="1" t="s">
        <v>628</v>
      </c>
      <c r="AP95" s="1" t="s">
        <v>57</v>
      </c>
      <c r="AQ95" s="1" t="s">
        <v>56</v>
      </c>
      <c r="AR95" s="1" t="s">
        <v>59</v>
      </c>
      <c r="AS95" s="1" t="s">
        <v>60</v>
      </c>
    </row>
    <row r="96" spans="1:45" x14ac:dyDescent="0.25">
      <c r="A96" s="1" t="s">
        <v>629</v>
      </c>
      <c r="B96" s="1" t="s">
        <v>630</v>
      </c>
      <c r="C96" s="1" t="s">
        <v>47</v>
      </c>
      <c r="D96" s="1" t="s">
        <v>48</v>
      </c>
      <c r="E96" s="1" t="s">
        <v>49</v>
      </c>
      <c r="F96" s="1" t="s">
        <v>49</v>
      </c>
      <c r="G96" s="1" t="s">
        <v>50</v>
      </c>
      <c r="H96" s="1" t="s">
        <v>51</v>
      </c>
      <c r="I96" s="1" t="s">
        <v>631</v>
      </c>
      <c r="J96" s="1" t="s">
        <v>632</v>
      </c>
      <c r="K96" s="1" t="s">
        <v>633</v>
      </c>
      <c r="L96" s="1" t="s">
        <v>55</v>
      </c>
      <c r="M96" s="1" t="s">
        <v>55</v>
      </c>
      <c r="N96" s="1" t="s">
        <v>55</v>
      </c>
      <c r="O96" s="1" t="s">
        <v>55</v>
      </c>
      <c r="P96" s="1" t="s">
        <v>55</v>
      </c>
      <c r="Q96" s="1" t="s">
        <v>55</v>
      </c>
      <c r="R96" s="1" t="s">
        <v>55</v>
      </c>
      <c r="S96" s="1" t="s">
        <v>55</v>
      </c>
      <c r="T96" s="1" t="s">
        <v>55</v>
      </c>
      <c r="U96" s="1" t="s">
        <v>55</v>
      </c>
      <c r="V96" s="1" t="s">
        <v>55</v>
      </c>
      <c r="W96" s="1" t="s">
        <v>55</v>
      </c>
      <c r="X96" s="1" t="s">
        <v>55</v>
      </c>
      <c r="Y96" s="1" t="s">
        <v>50</v>
      </c>
      <c r="Z96" t="str">
        <f>_xll.BDP($B96,"CUST_TRR_RETURN_HOLDING_PER","CUST_TRR_START_DT","20260401","CUST_TRR_END_DT","20260430","CUST_TRR_CRNCY","USD")</f>
        <v>#N/A N/A</v>
      </c>
      <c r="AA96" t="str">
        <f>_xll.BDP($B96,"CUST_TRR_RETURN_HOLDING_PER","CUST_TRR_START_DT","20260501","CUST_TRR_END_DT","20260531","CUST_TRR_CRNCY","USD")</f>
        <v>#N/A N/A</v>
      </c>
      <c r="AB96" t="str">
        <f>_xll.BDP($B96,"CUST_TRR_RETURN_HOLDING_PER","CUST_TRR_START_DT","20260601","CUST_TRR_END_DT","20260630","CUST_TRR_CRNCY","USD")</f>
        <v>#N/A N/A</v>
      </c>
      <c r="AC96" s="1" t="s">
        <v>56</v>
      </c>
      <c r="AD96" s="1" t="s">
        <v>56</v>
      </c>
      <c r="AE96" s="1" t="s">
        <v>56</v>
      </c>
      <c r="AF96" s="1" t="s">
        <v>56</v>
      </c>
      <c r="AG96" s="1" t="s">
        <v>56</v>
      </c>
      <c r="AH96" s="1" t="s">
        <v>56</v>
      </c>
      <c r="AI96" s="1" t="s">
        <v>57</v>
      </c>
      <c r="AJ96" s="1" t="s">
        <v>57</v>
      </c>
      <c r="AK96" s="1" t="s">
        <v>56</v>
      </c>
      <c r="AL96" s="1" t="s">
        <v>57</v>
      </c>
      <c r="AM96" s="1" t="s">
        <v>57</v>
      </c>
      <c r="AN96" s="1" t="s">
        <v>56</v>
      </c>
      <c r="AO96" s="1" t="s">
        <v>634</v>
      </c>
      <c r="AP96" s="1" t="s">
        <v>57</v>
      </c>
      <c r="AQ96" s="1" t="s">
        <v>56</v>
      </c>
      <c r="AR96" s="1" t="s">
        <v>59</v>
      </c>
      <c r="AS96" s="1" t="s">
        <v>60</v>
      </c>
    </row>
    <row r="97" spans="1:45" x14ac:dyDescent="0.25">
      <c r="A97" s="1" t="s">
        <v>635</v>
      </c>
      <c r="B97" s="1" t="s">
        <v>636</v>
      </c>
      <c r="C97" s="1" t="s">
        <v>47</v>
      </c>
      <c r="D97" s="1" t="s">
        <v>48</v>
      </c>
      <c r="E97" s="1" t="s">
        <v>49</v>
      </c>
      <c r="F97" s="1" t="s">
        <v>49</v>
      </c>
      <c r="G97" s="1" t="s">
        <v>50</v>
      </c>
      <c r="H97" s="1" t="s">
        <v>51</v>
      </c>
      <c r="I97" s="1" t="s">
        <v>637</v>
      </c>
      <c r="J97" s="1" t="s">
        <v>638</v>
      </c>
      <c r="K97" s="1" t="s">
        <v>639</v>
      </c>
      <c r="L97" s="1" t="s">
        <v>55</v>
      </c>
      <c r="M97" s="1" t="s">
        <v>55</v>
      </c>
      <c r="N97" s="1" t="s">
        <v>55</v>
      </c>
      <c r="O97" s="1" t="s">
        <v>55</v>
      </c>
      <c r="P97" s="1" t="s">
        <v>55</v>
      </c>
      <c r="Q97" s="1" t="s">
        <v>55</v>
      </c>
      <c r="R97" s="1" t="s">
        <v>55</v>
      </c>
      <c r="S97" s="1" t="s">
        <v>55</v>
      </c>
      <c r="T97" s="1" t="s">
        <v>55</v>
      </c>
      <c r="U97" s="1" t="s">
        <v>55</v>
      </c>
      <c r="V97" s="1" t="s">
        <v>55</v>
      </c>
      <c r="W97" s="1" t="s">
        <v>55</v>
      </c>
      <c r="X97" s="1" t="s">
        <v>55</v>
      </c>
      <c r="Y97" s="1" t="s">
        <v>50</v>
      </c>
      <c r="Z97" t="str">
        <f>_xll.BDP($B97,"CUST_TRR_RETURN_HOLDING_PER","CUST_TRR_START_DT","20260401","CUST_TRR_END_DT","20260430","CUST_TRR_CRNCY","USD")</f>
        <v>#N/A N/A</v>
      </c>
      <c r="AA97" t="str">
        <f>_xll.BDP($B97,"CUST_TRR_RETURN_HOLDING_PER","CUST_TRR_START_DT","20260501","CUST_TRR_END_DT","20260531","CUST_TRR_CRNCY","USD")</f>
        <v>#N/A N/A</v>
      </c>
      <c r="AB97" t="str">
        <f>_xll.BDP($B97,"CUST_TRR_RETURN_HOLDING_PER","CUST_TRR_START_DT","20260601","CUST_TRR_END_DT","20260630","CUST_TRR_CRNCY","USD")</f>
        <v>#N/A N/A</v>
      </c>
      <c r="AC97" s="1" t="s">
        <v>56</v>
      </c>
      <c r="AD97" s="1" t="s">
        <v>56</v>
      </c>
      <c r="AE97" s="1" t="s">
        <v>56</v>
      </c>
      <c r="AF97" s="1" t="s">
        <v>56</v>
      </c>
      <c r="AG97" s="1" t="s">
        <v>56</v>
      </c>
      <c r="AH97" s="1" t="s">
        <v>56</v>
      </c>
      <c r="AI97" s="1" t="s">
        <v>57</v>
      </c>
      <c r="AJ97" s="1" t="s">
        <v>57</v>
      </c>
      <c r="AK97" s="1" t="s">
        <v>56</v>
      </c>
      <c r="AL97" s="1" t="s">
        <v>57</v>
      </c>
      <c r="AM97" s="1" t="s">
        <v>57</v>
      </c>
      <c r="AN97" s="1" t="s">
        <v>56</v>
      </c>
      <c r="AO97" s="1" t="s">
        <v>640</v>
      </c>
      <c r="AP97" s="1" t="s">
        <v>57</v>
      </c>
      <c r="AQ97" s="1" t="s">
        <v>56</v>
      </c>
      <c r="AR97" s="1" t="s">
        <v>59</v>
      </c>
      <c r="AS97" s="1" t="s">
        <v>60</v>
      </c>
    </row>
    <row r="98" spans="1:45" x14ac:dyDescent="0.25">
      <c r="A98" s="1" t="s">
        <v>641</v>
      </c>
      <c r="B98" s="1" t="s">
        <v>642</v>
      </c>
      <c r="C98" s="1" t="s">
        <v>47</v>
      </c>
      <c r="D98" s="1" t="s">
        <v>48</v>
      </c>
      <c r="E98" s="1" t="s">
        <v>49</v>
      </c>
      <c r="F98" s="1" t="s">
        <v>49</v>
      </c>
      <c r="G98" s="1" t="s">
        <v>50</v>
      </c>
      <c r="H98" s="1" t="s">
        <v>51</v>
      </c>
      <c r="I98" s="1" t="s">
        <v>643</v>
      </c>
      <c r="J98" s="1" t="s">
        <v>644</v>
      </c>
      <c r="K98" s="1" t="s">
        <v>645</v>
      </c>
      <c r="L98" s="1" t="s">
        <v>55</v>
      </c>
      <c r="M98" s="1" t="s">
        <v>55</v>
      </c>
      <c r="N98" s="1" t="s">
        <v>55</v>
      </c>
      <c r="O98" s="1" t="s">
        <v>55</v>
      </c>
      <c r="P98" s="1" t="s">
        <v>55</v>
      </c>
      <c r="Q98" s="1" t="s">
        <v>55</v>
      </c>
      <c r="R98" s="1" t="s">
        <v>55</v>
      </c>
      <c r="S98" s="1" t="s">
        <v>55</v>
      </c>
      <c r="T98" s="1" t="s">
        <v>55</v>
      </c>
      <c r="U98" s="1" t="s">
        <v>55</v>
      </c>
      <c r="V98" s="1" t="s">
        <v>55</v>
      </c>
      <c r="W98" s="1" t="s">
        <v>55</v>
      </c>
      <c r="X98" s="1" t="s">
        <v>55</v>
      </c>
      <c r="Y98" s="1" t="s">
        <v>50</v>
      </c>
      <c r="Z98" t="str">
        <f>_xll.BDP($B98,"CUST_TRR_RETURN_HOLDING_PER","CUST_TRR_START_DT","20260401","CUST_TRR_END_DT","20260430","CUST_TRR_CRNCY","USD")</f>
        <v>#N/A N/A</v>
      </c>
      <c r="AA98" t="str">
        <f>_xll.BDP($B98,"CUST_TRR_RETURN_HOLDING_PER","CUST_TRR_START_DT","20260501","CUST_TRR_END_DT","20260531","CUST_TRR_CRNCY","USD")</f>
        <v>#N/A N/A</v>
      </c>
      <c r="AB98" t="str">
        <f>_xll.BDP($B98,"CUST_TRR_RETURN_HOLDING_PER","CUST_TRR_START_DT","20260601","CUST_TRR_END_DT","20260630","CUST_TRR_CRNCY","USD")</f>
        <v>#N/A N/A</v>
      </c>
      <c r="AC98" s="1" t="s">
        <v>56</v>
      </c>
      <c r="AD98" s="1" t="s">
        <v>56</v>
      </c>
      <c r="AE98" s="1" t="s">
        <v>56</v>
      </c>
      <c r="AF98" s="1" t="s">
        <v>56</v>
      </c>
      <c r="AG98" s="1" t="s">
        <v>56</v>
      </c>
      <c r="AH98" s="1" t="s">
        <v>56</v>
      </c>
      <c r="AI98" s="1" t="s">
        <v>57</v>
      </c>
      <c r="AJ98" s="1" t="s">
        <v>57</v>
      </c>
      <c r="AK98" s="1" t="s">
        <v>56</v>
      </c>
      <c r="AL98" s="1" t="s">
        <v>57</v>
      </c>
      <c r="AM98" s="1" t="s">
        <v>57</v>
      </c>
      <c r="AN98" s="1" t="s">
        <v>56</v>
      </c>
      <c r="AO98" s="1" t="s">
        <v>646</v>
      </c>
      <c r="AP98" s="1" t="s">
        <v>647</v>
      </c>
      <c r="AQ98" s="1" t="s">
        <v>56</v>
      </c>
      <c r="AR98" s="1" t="s">
        <v>59</v>
      </c>
      <c r="AS98" s="1" t="s">
        <v>60</v>
      </c>
    </row>
    <row r="99" spans="1:45" x14ac:dyDescent="0.25">
      <c r="A99" s="1" t="s">
        <v>648</v>
      </c>
      <c r="B99" s="1" t="s">
        <v>649</v>
      </c>
      <c r="C99" s="1" t="s">
        <v>47</v>
      </c>
      <c r="D99" s="1" t="s">
        <v>48</v>
      </c>
      <c r="E99" s="1" t="s">
        <v>49</v>
      </c>
      <c r="F99" s="1" t="s">
        <v>49</v>
      </c>
      <c r="G99" s="1" t="s">
        <v>50</v>
      </c>
      <c r="H99" s="1" t="s">
        <v>51</v>
      </c>
      <c r="I99" s="1" t="s">
        <v>650</v>
      </c>
      <c r="J99" s="1" t="s">
        <v>651</v>
      </c>
      <c r="K99" s="1" t="s">
        <v>652</v>
      </c>
      <c r="L99" s="1" t="s">
        <v>55</v>
      </c>
      <c r="M99" s="1" t="s">
        <v>55</v>
      </c>
      <c r="N99" s="1" t="s">
        <v>55</v>
      </c>
      <c r="O99" s="1" t="s">
        <v>55</v>
      </c>
      <c r="P99" s="1" t="s">
        <v>55</v>
      </c>
      <c r="Q99" s="1" t="s">
        <v>55</v>
      </c>
      <c r="R99" s="1" t="s">
        <v>55</v>
      </c>
      <c r="S99" s="1" t="s">
        <v>55</v>
      </c>
      <c r="T99" s="1" t="s">
        <v>55</v>
      </c>
      <c r="U99" s="1" t="s">
        <v>55</v>
      </c>
      <c r="V99" s="1" t="s">
        <v>55</v>
      </c>
      <c r="W99" s="1" t="s">
        <v>55</v>
      </c>
      <c r="X99" s="1" t="s">
        <v>55</v>
      </c>
      <c r="Y99" s="1" t="s">
        <v>50</v>
      </c>
      <c r="Z99" t="str">
        <f>_xll.BDP($B99,"CUST_TRR_RETURN_HOLDING_PER","CUST_TRR_START_DT","20260401","CUST_TRR_END_DT","20260430","CUST_TRR_CRNCY","USD")</f>
        <v>#N/A N/A</v>
      </c>
      <c r="AA99" t="str">
        <f>_xll.BDP($B99,"CUST_TRR_RETURN_HOLDING_PER","CUST_TRR_START_DT","20260501","CUST_TRR_END_DT","20260531","CUST_TRR_CRNCY","USD")</f>
        <v>#N/A N/A</v>
      </c>
      <c r="AB99" t="str">
        <f>_xll.BDP($B99,"CUST_TRR_RETURN_HOLDING_PER","CUST_TRR_START_DT","20260601","CUST_TRR_END_DT","20260630","CUST_TRR_CRNCY","USD")</f>
        <v>#N/A N/A</v>
      </c>
      <c r="AC99" s="1" t="s">
        <v>56</v>
      </c>
      <c r="AD99" s="1" t="s">
        <v>56</v>
      </c>
      <c r="AE99" s="1" t="s">
        <v>56</v>
      </c>
      <c r="AF99" s="1" t="s">
        <v>56</v>
      </c>
      <c r="AG99" s="1" t="s">
        <v>56</v>
      </c>
      <c r="AH99" s="1" t="s">
        <v>56</v>
      </c>
      <c r="AI99" s="1" t="s">
        <v>57</v>
      </c>
      <c r="AJ99" s="1" t="s">
        <v>57</v>
      </c>
      <c r="AK99" s="1" t="s">
        <v>56</v>
      </c>
      <c r="AL99" s="1" t="s">
        <v>57</v>
      </c>
      <c r="AM99" s="1" t="s">
        <v>57</v>
      </c>
      <c r="AN99" s="1" t="s">
        <v>56</v>
      </c>
      <c r="AO99" s="1" t="s">
        <v>653</v>
      </c>
      <c r="AP99" s="1" t="s">
        <v>57</v>
      </c>
      <c r="AQ99" s="1" t="s">
        <v>56</v>
      </c>
      <c r="AR99" s="1" t="s">
        <v>59</v>
      </c>
      <c r="AS99" s="1" t="s">
        <v>60</v>
      </c>
    </row>
    <row r="100" spans="1:45" x14ac:dyDescent="0.25">
      <c r="A100" s="1" t="s">
        <v>654</v>
      </c>
      <c r="B100" s="1" t="s">
        <v>655</v>
      </c>
      <c r="C100" s="1" t="s">
        <v>47</v>
      </c>
      <c r="D100" s="1" t="s">
        <v>48</v>
      </c>
      <c r="E100" s="1" t="s">
        <v>49</v>
      </c>
      <c r="F100" s="1" t="s">
        <v>49</v>
      </c>
      <c r="G100" s="1" t="s">
        <v>50</v>
      </c>
      <c r="H100" s="1" t="s">
        <v>51</v>
      </c>
      <c r="I100" s="1" t="s">
        <v>656</v>
      </c>
      <c r="J100" s="1" t="s">
        <v>657</v>
      </c>
      <c r="K100" s="1" t="s">
        <v>658</v>
      </c>
      <c r="L100" s="1" t="s">
        <v>55</v>
      </c>
      <c r="M100" s="1" t="s">
        <v>55</v>
      </c>
      <c r="N100" s="1" t="s">
        <v>55</v>
      </c>
      <c r="O100" s="1" t="s">
        <v>55</v>
      </c>
      <c r="P100" s="1" t="s">
        <v>55</v>
      </c>
      <c r="Q100" s="1" t="s">
        <v>55</v>
      </c>
      <c r="R100" s="1" t="s">
        <v>55</v>
      </c>
      <c r="S100" s="1" t="s">
        <v>55</v>
      </c>
      <c r="T100" s="1" t="s">
        <v>55</v>
      </c>
      <c r="U100" s="1" t="s">
        <v>55</v>
      </c>
      <c r="V100" s="1" t="s">
        <v>55</v>
      </c>
      <c r="W100" s="1" t="s">
        <v>55</v>
      </c>
      <c r="X100" s="1" t="s">
        <v>55</v>
      </c>
      <c r="Y100" s="1" t="s">
        <v>50</v>
      </c>
      <c r="Z100" t="str">
        <f>_xll.BDP($B100,"CUST_TRR_RETURN_HOLDING_PER","CUST_TRR_START_DT","20260401","CUST_TRR_END_DT","20260430","CUST_TRR_CRNCY","USD")</f>
        <v>#N/A N/A</v>
      </c>
      <c r="AA100" t="str">
        <f>_xll.BDP($B100,"CUST_TRR_RETURN_HOLDING_PER","CUST_TRR_START_DT","20260501","CUST_TRR_END_DT","20260531","CUST_TRR_CRNCY","USD")</f>
        <v>#N/A N/A</v>
      </c>
      <c r="AB100" t="str">
        <f>_xll.BDP($B100,"CUST_TRR_RETURN_HOLDING_PER","CUST_TRR_START_DT","20260601","CUST_TRR_END_DT","20260630","CUST_TRR_CRNCY","USD")</f>
        <v>#N/A N/A</v>
      </c>
      <c r="AC100" s="1" t="s">
        <v>56</v>
      </c>
      <c r="AD100" s="1" t="s">
        <v>56</v>
      </c>
      <c r="AE100" s="1" t="s">
        <v>56</v>
      </c>
      <c r="AF100" s="1" t="s">
        <v>56</v>
      </c>
      <c r="AG100" s="1" t="s">
        <v>56</v>
      </c>
      <c r="AH100" s="1" t="s">
        <v>56</v>
      </c>
      <c r="AI100" s="1" t="s">
        <v>57</v>
      </c>
      <c r="AJ100" s="1" t="s">
        <v>57</v>
      </c>
      <c r="AK100" s="1" t="s">
        <v>56</v>
      </c>
      <c r="AL100" s="1" t="s">
        <v>57</v>
      </c>
      <c r="AM100" s="1" t="s">
        <v>57</v>
      </c>
      <c r="AN100" s="1" t="s">
        <v>56</v>
      </c>
      <c r="AO100" s="1" t="s">
        <v>58</v>
      </c>
      <c r="AP100" s="1" t="s">
        <v>57</v>
      </c>
      <c r="AQ100" s="1" t="s">
        <v>56</v>
      </c>
      <c r="AR100" s="1" t="s">
        <v>59</v>
      </c>
      <c r="AS100" s="1" t="s">
        <v>60</v>
      </c>
    </row>
    <row r="101" spans="1:45" x14ac:dyDescent="0.25">
      <c r="A101" s="1" t="s">
        <v>659</v>
      </c>
      <c r="B101" s="1" t="s">
        <v>660</v>
      </c>
      <c r="C101" s="1" t="s">
        <v>47</v>
      </c>
      <c r="D101" s="1" t="s">
        <v>48</v>
      </c>
      <c r="E101" s="1" t="s">
        <v>49</v>
      </c>
      <c r="F101" s="1" t="s">
        <v>49</v>
      </c>
      <c r="G101" s="1" t="s">
        <v>50</v>
      </c>
      <c r="H101" s="1" t="s">
        <v>51</v>
      </c>
      <c r="I101" s="1" t="s">
        <v>661</v>
      </c>
      <c r="J101" s="1" t="s">
        <v>662</v>
      </c>
      <c r="K101" s="1" t="s">
        <v>663</v>
      </c>
      <c r="L101" s="1" t="s">
        <v>55</v>
      </c>
      <c r="M101" s="1" t="s">
        <v>55</v>
      </c>
      <c r="N101" s="1" t="s">
        <v>55</v>
      </c>
      <c r="O101" s="1" t="s">
        <v>55</v>
      </c>
      <c r="P101" s="1" t="s">
        <v>55</v>
      </c>
      <c r="Q101" s="1" t="s">
        <v>55</v>
      </c>
      <c r="R101" s="1" t="s">
        <v>55</v>
      </c>
      <c r="S101" s="1" t="s">
        <v>55</v>
      </c>
      <c r="T101" s="1" t="s">
        <v>55</v>
      </c>
      <c r="U101" s="1" t="s">
        <v>55</v>
      </c>
      <c r="V101" s="1" t="s">
        <v>55</v>
      </c>
      <c r="W101" s="1" t="s">
        <v>55</v>
      </c>
      <c r="X101" s="1" t="s">
        <v>55</v>
      </c>
      <c r="Y101" s="1" t="s">
        <v>50</v>
      </c>
      <c r="Z101" t="str">
        <f>_xll.BDP($B101,"CUST_TRR_RETURN_HOLDING_PER","CUST_TRR_START_DT","20260401","CUST_TRR_END_DT","20260430","CUST_TRR_CRNCY","USD")</f>
        <v>#N/A N/A</v>
      </c>
      <c r="AA101" t="str">
        <f>_xll.BDP($B101,"CUST_TRR_RETURN_HOLDING_PER","CUST_TRR_START_DT","20260501","CUST_TRR_END_DT","20260531","CUST_TRR_CRNCY","USD")</f>
        <v>#N/A N/A</v>
      </c>
      <c r="AB101" t="str">
        <f>_xll.BDP($B101,"CUST_TRR_RETURN_HOLDING_PER","CUST_TRR_START_DT","20260601","CUST_TRR_END_DT","20260630","CUST_TRR_CRNCY","USD")</f>
        <v>#N/A N/A</v>
      </c>
      <c r="AC101" s="1" t="s">
        <v>56</v>
      </c>
      <c r="AD101" s="1" t="s">
        <v>56</v>
      </c>
      <c r="AE101" s="1" t="s">
        <v>56</v>
      </c>
      <c r="AF101" s="1" t="s">
        <v>56</v>
      </c>
      <c r="AG101" s="1" t="s">
        <v>56</v>
      </c>
      <c r="AH101" s="1" t="s">
        <v>56</v>
      </c>
      <c r="AI101" s="1" t="s">
        <v>57</v>
      </c>
      <c r="AJ101" s="1" t="s">
        <v>57</v>
      </c>
      <c r="AK101" s="1" t="s">
        <v>56</v>
      </c>
      <c r="AL101" s="1" t="s">
        <v>57</v>
      </c>
      <c r="AM101" s="1" t="s">
        <v>57</v>
      </c>
      <c r="AN101" s="1" t="s">
        <v>56</v>
      </c>
      <c r="AO101" s="1" t="s">
        <v>664</v>
      </c>
      <c r="AP101" s="1" t="s">
        <v>57</v>
      </c>
      <c r="AQ101" s="1" t="s">
        <v>56</v>
      </c>
      <c r="AR101" s="1" t="s">
        <v>59</v>
      </c>
      <c r="AS101" s="1" t="s">
        <v>60</v>
      </c>
    </row>
    <row r="102" spans="1:45" x14ac:dyDescent="0.25">
      <c r="A102" s="1" t="s">
        <v>665</v>
      </c>
      <c r="B102" s="1" t="s">
        <v>666</v>
      </c>
      <c r="C102" s="1" t="s">
        <v>47</v>
      </c>
      <c r="D102" s="1" t="s">
        <v>48</v>
      </c>
      <c r="E102" s="1" t="s">
        <v>49</v>
      </c>
      <c r="F102" s="1" t="s">
        <v>49</v>
      </c>
      <c r="G102" s="1" t="s">
        <v>50</v>
      </c>
      <c r="H102" s="1" t="s">
        <v>51</v>
      </c>
      <c r="I102" s="1" t="s">
        <v>667</v>
      </c>
      <c r="J102" s="1" t="s">
        <v>668</v>
      </c>
      <c r="K102" s="1" t="s">
        <v>669</v>
      </c>
      <c r="L102" s="1" t="s">
        <v>55</v>
      </c>
      <c r="M102" s="1" t="s">
        <v>55</v>
      </c>
      <c r="N102" s="1" t="s">
        <v>55</v>
      </c>
      <c r="O102" s="1" t="s">
        <v>55</v>
      </c>
      <c r="P102" s="1" t="s">
        <v>55</v>
      </c>
      <c r="Q102" s="1" t="s">
        <v>55</v>
      </c>
      <c r="R102" s="1" t="s">
        <v>55</v>
      </c>
      <c r="S102" s="1" t="s">
        <v>55</v>
      </c>
      <c r="T102" s="1" t="s">
        <v>55</v>
      </c>
      <c r="U102" s="1" t="s">
        <v>55</v>
      </c>
      <c r="V102" s="1" t="s">
        <v>55</v>
      </c>
      <c r="W102" s="1" t="s">
        <v>55</v>
      </c>
      <c r="X102" s="1" t="s">
        <v>55</v>
      </c>
      <c r="Y102" s="1" t="s">
        <v>50</v>
      </c>
      <c r="Z102" t="str">
        <f>_xll.BDP($B102,"CUST_TRR_RETURN_HOLDING_PER","CUST_TRR_START_DT","20260401","CUST_TRR_END_DT","20260430","CUST_TRR_CRNCY","USD")</f>
        <v>#N/A N/A</v>
      </c>
      <c r="AA102" t="str">
        <f>_xll.BDP($B102,"CUST_TRR_RETURN_HOLDING_PER","CUST_TRR_START_DT","20260501","CUST_TRR_END_DT","20260531","CUST_TRR_CRNCY","USD")</f>
        <v>#N/A N/A</v>
      </c>
      <c r="AB102" t="str">
        <f>_xll.BDP($B102,"CUST_TRR_RETURN_HOLDING_PER","CUST_TRR_START_DT","20260601","CUST_TRR_END_DT","20260630","CUST_TRR_CRNCY","USD")</f>
        <v>#N/A N/A</v>
      </c>
      <c r="AC102" s="1" t="s">
        <v>56</v>
      </c>
      <c r="AD102" s="1" t="s">
        <v>56</v>
      </c>
      <c r="AE102" s="1" t="s">
        <v>56</v>
      </c>
      <c r="AF102" s="1" t="s">
        <v>56</v>
      </c>
      <c r="AG102" s="1" t="s">
        <v>56</v>
      </c>
      <c r="AH102" s="1" t="s">
        <v>56</v>
      </c>
      <c r="AI102" s="1" t="s">
        <v>57</v>
      </c>
      <c r="AJ102" s="1" t="s">
        <v>57</v>
      </c>
      <c r="AK102" s="1" t="s">
        <v>56</v>
      </c>
      <c r="AL102" s="1" t="s">
        <v>57</v>
      </c>
      <c r="AM102" s="1" t="s">
        <v>57</v>
      </c>
      <c r="AN102" s="1" t="s">
        <v>56</v>
      </c>
      <c r="AO102" s="1" t="s">
        <v>670</v>
      </c>
      <c r="AP102" s="1" t="s">
        <v>57</v>
      </c>
      <c r="AQ102" s="1" t="s">
        <v>56</v>
      </c>
      <c r="AR102" s="1" t="s">
        <v>89</v>
      </c>
      <c r="AS102" s="1" t="s">
        <v>90</v>
      </c>
    </row>
    <row r="103" spans="1:45" x14ac:dyDescent="0.25">
      <c r="A103" s="1" t="s">
        <v>671</v>
      </c>
      <c r="B103" s="1" t="s">
        <v>672</v>
      </c>
      <c r="C103" s="1" t="s">
        <v>47</v>
      </c>
      <c r="D103" s="1" t="s">
        <v>48</v>
      </c>
      <c r="E103" s="1" t="s">
        <v>49</v>
      </c>
      <c r="F103" s="1" t="s">
        <v>49</v>
      </c>
      <c r="G103" s="1" t="s">
        <v>50</v>
      </c>
      <c r="H103" s="1" t="s">
        <v>51</v>
      </c>
      <c r="I103" s="1" t="s">
        <v>673</v>
      </c>
      <c r="J103" s="1" t="s">
        <v>674</v>
      </c>
      <c r="K103" s="1" t="s">
        <v>675</v>
      </c>
      <c r="L103" s="1" t="s">
        <v>55</v>
      </c>
      <c r="M103" s="1" t="s">
        <v>55</v>
      </c>
      <c r="N103" s="1" t="s">
        <v>55</v>
      </c>
      <c r="O103" s="1" t="s">
        <v>55</v>
      </c>
      <c r="P103" s="1" t="s">
        <v>55</v>
      </c>
      <c r="Q103" s="1" t="s">
        <v>55</v>
      </c>
      <c r="R103" s="1" t="s">
        <v>55</v>
      </c>
      <c r="S103" s="1" t="s">
        <v>55</v>
      </c>
      <c r="T103" s="1" t="s">
        <v>55</v>
      </c>
      <c r="U103" s="1" t="s">
        <v>55</v>
      </c>
      <c r="V103" s="1" t="s">
        <v>55</v>
      </c>
      <c r="W103" s="1" t="s">
        <v>55</v>
      </c>
      <c r="X103" s="1" t="s">
        <v>55</v>
      </c>
      <c r="Y103" s="1" t="s">
        <v>50</v>
      </c>
      <c r="Z103" t="str">
        <f>_xll.BDP($B103,"CUST_TRR_RETURN_HOLDING_PER","CUST_TRR_START_DT","20260401","CUST_TRR_END_DT","20260430","CUST_TRR_CRNCY","USD")</f>
        <v>#N/A N/A</v>
      </c>
      <c r="AA103" t="str">
        <f>_xll.BDP($B103,"CUST_TRR_RETURN_HOLDING_PER","CUST_TRR_START_DT","20260501","CUST_TRR_END_DT","20260531","CUST_TRR_CRNCY","USD")</f>
        <v>#N/A N/A</v>
      </c>
      <c r="AB103" t="str">
        <f>_xll.BDP($B103,"CUST_TRR_RETURN_HOLDING_PER","CUST_TRR_START_DT","20260601","CUST_TRR_END_DT","20260630","CUST_TRR_CRNCY","USD")</f>
        <v>#N/A N/A</v>
      </c>
      <c r="AC103" s="1" t="s">
        <v>56</v>
      </c>
      <c r="AD103" s="1" t="s">
        <v>56</v>
      </c>
      <c r="AE103" s="1" t="s">
        <v>56</v>
      </c>
      <c r="AF103" s="1" t="s">
        <v>56</v>
      </c>
      <c r="AG103" s="1" t="s">
        <v>56</v>
      </c>
      <c r="AH103" s="1" t="s">
        <v>56</v>
      </c>
      <c r="AI103" s="1" t="s">
        <v>57</v>
      </c>
      <c r="AJ103" s="1" t="s">
        <v>57</v>
      </c>
      <c r="AK103" s="1" t="s">
        <v>56</v>
      </c>
      <c r="AL103" s="1" t="s">
        <v>57</v>
      </c>
      <c r="AM103" s="1" t="s">
        <v>57</v>
      </c>
      <c r="AN103" s="1" t="s">
        <v>56</v>
      </c>
      <c r="AO103" s="1" t="s">
        <v>676</v>
      </c>
      <c r="AP103" s="1" t="s">
        <v>57</v>
      </c>
      <c r="AQ103" s="1" t="s">
        <v>56</v>
      </c>
      <c r="AR103" s="1" t="s">
        <v>59</v>
      </c>
      <c r="AS103" s="1" t="s">
        <v>60</v>
      </c>
    </row>
    <row r="104" spans="1:45" x14ac:dyDescent="0.25">
      <c r="A104" s="1" t="s">
        <v>677</v>
      </c>
      <c r="B104" s="1" t="s">
        <v>678</v>
      </c>
      <c r="C104" s="1" t="s">
        <v>47</v>
      </c>
      <c r="D104" s="1" t="s">
        <v>48</v>
      </c>
      <c r="E104" s="1" t="s">
        <v>49</v>
      </c>
      <c r="F104" s="1" t="s">
        <v>49</v>
      </c>
      <c r="G104" s="1" t="s">
        <v>50</v>
      </c>
      <c r="H104" s="1" t="s">
        <v>51</v>
      </c>
      <c r="I104" s="1" t="s">
        <v>679</v>
      </c>
      <c r="J104" s="1" t="s">
        <v>680</v>
      </c>
      <c r="K104" s="1" t="s">
        <v>681</v>
      </c>
      <c r="L104" s="1" t="s">
        <v>55</v>
      </c>
      <c r="M104" s="1" t="s">
        <v>55</v>
      </c>
      <c r="N104" s="1" t="s">
        <v>55</v>
      </c>
      <c r="O104" s="1" t="s">
        <v>55</v>
      </c>
      <c r="P104" s="1" t="s">
        <v>55</v>
      </c>
      <c r="Q104" s="1" t="s">
        <v>55</v>
      </c>
      <c r="R104" s="1" t="s">
        <v>55</v>
      </c>
      <c r="S104" s="1" t="s">
        <v>55</v>
      </c>
      <c r="T104" s="1" t="s">
        <v>55</v>
      </c>
      <c r="U104" s="1" t="s">
        <v>55</v>
      </c>
      <c r="V104" s="1" t="s">
        <v>55</v>
      </c>
      <c r="W104" s="1" t="s">
        <v>55</v>
      </c>
      <c r="X104" s="1" t="s">
        <v>55</v>
      </c>
      <c r="Y104" s="1" t="s">
        <v>50</v>
      </c>
      <c r="Z104" t="str">
        <f>_xll.BDP($B104,"CUST_TRR_RETURN_HOLDING_PER","CUST_TRR_START_DT","20260401","CUST_TRR_END_DT","20260430","CUST_TRR_CRNCY","USD")</f>
        <v>#N/A N/A</v>
      </c>
      <c r="AA104" t="str">
        <f>_xll.BDP($B104,"CUST_TRR_RETURN_HOLDING_PER","CUST_TRR_START_DT","20260501","CUST_TRR_END_DT","20260531","CUST_TRR_CRNCY","USD")</f>
        <v>#N/A N/A</v>
      </c>
      <c r="AB104" t="str">
        <f>_xll.BDP($B104,"CUST_TRR_RETURN_HOLDING_PER","CUST_TRR_START_DT","20260601","CUST_TRR_END_DT","20260630","CUST_TRR_CRNCY","USD")</f>
        <v>#N/A N/A</v>
      </c>
      <c r="AC104" s="1" t="s">
        <v>56</v>
      </c>
      <c r="AD104" s="1" t="s">
        <v>56</v>
      </c>
      <c r="AE104" s="1" t="s">
        <v>56</v>
      </c>
      <c r="AF104" s="1" t="s">
        <v>56</v>
      </c>
      <c r="AG104" s="1" t="s">
        <v>56</v>
      </c>
      <c r="AH104" s="1" t="s">
        <v>56</v>
      </c>
      <c r="AI104" s="1" t="s">
        <v>57</v>
      </c>
      <c r="AJ104" s="1" t="s">
        <v>57</v>
      </c>
      <c r="AK104" s="1" t="s">
        <v>56</v>
      </c>
      <c r="AL104" s="1" t="s">
        <v>57</v>
      </c>
      <c r="AM104" s="1" t="s">
        <v>57</v>
      </c>
      <c r="AN104" s="1" t="s">
        <v>56</v>
      </c>
      <c r="AO104" s="1" t="s">
        <v>682</v>
      </c>
      <c r="AP104" s="1" t="s">
        <v>683</v>
      </c>
      <c r="AQ104" s="1" t="s">
        <v>56</v>
      </c>
      <c r="AR104" s="1" t="s">
        <v>59</v>
      </c>
      <c r="AS104" s="1" t="s">
        <v>60</v>
      </c>
    </row>
    <row r="105" spans="1:45" x14ac:dyDescent="0.25">
      <c r="A105" s="1" t="s">
        <v>684</v>
      </c>
      <c r="B105" s="1" t="s">
        <v>685</v>
      </c>
      <c r="C105" s="1" t="s">
        <v>47</v>
      </c>
      <c r="D105" s="1" t="s">
        <v>48</v>
      </c>
      <c r="E105" s="1" t="s">
        <v>49</v>
      </c>
      <c r="F105" s="1" t="s">
        <v>49</v>
      </c>
      <c r="G105" s="1" t="s">
        <v>50</v>
      </c>
      <c r="H105" s="1" t="s">
        <v>51</v>
      </c>
      <c r="I105" s="1" t="s">
        <v>686</v>
      </c>
      <c r="J105" s="1" t="s">
        <v>687</v>
      </c>
      <c r="K105" s="1" t="s">
        <v>688</v>
      </c>
      <c r="L105" s="1" t="s">
        <v>55</v>
      </c>
      <c r="M105" s="1" t="s">
        <v>55</v>
      </c>
      <c r="N105" s="1" t="s">
        <v>55</v>
      </c>
      <c r="O105" s="1" t="s">
        <v>55</v>
      </c>
      <c r="P105" s="1" t="s">
        <v>55</v>
      </c>
      <c r="Q105" s="1" t="s">
        <v>55</v>
      </c>
      <c r="R105" s="1" t="s">
        <v>55</v>
      </c>
      <c r="S105" s="1" t="s">
        <v>55</v>
      </c>
      <c r="T105" s="1" t="s">
        <v>55</v>
      </c>
      <c r="U105" s="1" t="s">
        <v>55</v>
      </c>
      <c r="V105" s="1" t="s">
        <v>55</v>
      </c>
      <c r="W105" s="1" t="s">
        <v>55</v>
      </c>
      <c r="X105" s="1" t="s">
        <v>55</v>
      </c>
      <c r="Y105" s="1" t="s">
        <v>50</v>
      </c>
      <c r="Z105" t="str">
        <f>_xll.BDP($B105,"CUST_TRR_RETURN_HOLDING_PER","CUST_TRR_START_DT","20260401","CUST_TRR_END_DT","20260430","CUST_TRR_CRNCY","USD")</f>
        <v>#N/A N/A</v>
      </c>
      <c r="AA105" t="str">
        <f>_xll.BDP($B105,"CUST_TRR_RETURN_HOLDING_PER","CUST_TRR_START_DT","20260501","CUST_TRR_END_DT","20260531","CUST_TRR_CRNCY","USD")</f>
        <v>#N/A N/A</v>
      </c>
      <c r="AB105" t="str">
        <f>_xll.BDP($B105,"CUST_TRR_RETURN_HOLDING_PER","CUST_TRR_START_DT","20260601","CUST_TRR_END_DT","20260630","CUST_TRR_CRNCY","USD")</f>
        <v>#N/A N/A</v>
      </c>
      <c r="AC105" s="1" t="s">
        <v>56</v>
      </c>
      <c r="AD105" s="1" t="s">
        <v>56</v>
      </c>
      <c r="AE105" s="1" t="s">
        <v>56</v>
      </c>
      <c r="AF105" s="1" t="s">
        <v>56</v>
      </c>
      <c r="AG105" s="1" t="s">
        <v>56</v>
      </c>
      <c r="AH105" s="1" t="s">
        <v>56</v>
      </c>
      <c r="AI105" s="1" t="s">
        <v>57</v>
      </c>
      <c r="AJ105" s="1" t="s">
        <v>57</v>
      </c>
      <c r="AK105" s="1" t="s">
        <v>56</v>
      </c>
      <c r="AL105" s="1" t="s">
        <v>57</v>
      </c>
      <c r="AM105" s="1" t="s">
        <v>57</v>
      </c>
      <c r="AN105" s="1" t="s">
        <v>56</v>
      </c>
      <c r="AO105" s="1" t="s">
        <v>58</v>
      </c>
      <c r="AP105" s="1" t="s">
        <v>57</v>
      </c>
      <c r="AQ105" s="1" t="s">
        <v>56</v>
      </c>
      <c r="AR105" s="1" t="s">
        <v>89</v>
      </c>
      <c r="AS105" s="1" t="s">
        <v>90</v>
      </c>
    </row>
    <row r="106" spans="1:45" x14ac:dyDescent="0.25">
      <c r="A106" s="1" t="s">
        <v>689</v>
      </c>
      <c r="B106" s="1" t="s">
        <v>690</v>
      </c>
      <c r="C106" s="1" t="s">
        <v>47</v>
      </c>
      <c r="D106" s="1" t="s">
        <v>48</v>
      </c>
      <c r="E106" s="1" t="s">
        <v>49</v>
      </c>
      <c r="F106" s="1" t="s">
        <v>49</v>
      </c>
      <c r="G106" s="1" t="s">
        <v>50</v>
      </c>
      <c r="H106" s="1" t="s">
        <v>51</v>
      </c>
      <c r="I106" s="1" t="s">
        <v>691</v>
      </c>
      <c r="J106" s="1" t="s">
        <v>57</v>
      </c>
      <c r="K106" s="1" t="s">
        <v>691</v>
      </c>
      <c r="L106" s="1" t="s">
        <v>55</v>
      </c>
      <c r="M106" s="1" t="s">
        <v>55</v>
      </c>
      <c r="N106" s="1" t="s">
        <v>55</v>
      </c>
      <c r="O106" s="1" t="s">
        <v>55</v>
      </c>
      <c r="P106" s="1" t="s">
        <v>55</v>
      </c>
      <c r="Q106" s="1" t="s">
        <v>55</v>
      </c>
      <c r="R106" s="1" t="s">
        <v>55</v>
      </c>
      <c r="S106" s="1" t="s">
        <v>55</v>
      </c>
      <c r="T106" s="1" t="s">
        <v>55</v>
      </c>
      <c r="U106" s="1" t="s">
        <v>55</v>
      </c>
      <c r="V106" s="1" t="s">
        <v>55</v>
      </c>
      <c r="W106" s="1" t="s">
        <v>55</v>
      </c>
      <c r="X106" s="1" t="s">
        <v>55</v>
      </c>
      <c r="Y106" s="1" t="s">
        <v>50</v>
      </c>
      <c r="Z106" t="str">
        <f>_xll.BDP($B106,"CUST_TRR_RETURN_HOLDING_PER","CUST_TRR_START_DT","20260401","CUST_TRR_END_DT","20260430","CUST_TRR_CRNCY","USD")</f>
        <v>#N/A N/A</v>
      </c>
      <c r="AA106">
        <f>_xll.BDP($B106,"CUST_TRR_RETURN_HOLDING_PER","CUST_TRR_START_DT","20260501","CUST_TRR_END_DT","20260531","CUST_TRR_CRNCY","USD")</f>
        <v>2.8985850000000002</v>
      </c>
      <c r="AB106" t="str">
        <f>_xll.BDP($B106,"CUST_TRR_RETURN_HOLDING_PER","CUST_TRR_START_DT","20260601","CUST_TRR_END_DT","20260630","CUST_TRR_CRNCY","USD")</f>
        <v>#N/A N/A</v>
      </c>
      <c r="AC106" s="1" t="s">
        <v>56</v>
      </c>
      <c r="AD106" s="1" t="s">
        <v>56</v>
      </c>
      <c r="AE106" s="1" t="s">
        <v>56</v>
      </c>
      <c r="AF106" s="1" t="s">
        <v>56</v>
      </c>
      <c r="AG106" s="1" t="s">
        <v>56</v>
      </c>
      <c r="AH106" s="1" t="s">
        <v>56</v>
      </c>
      <c r="AI106" s="1" t="s">
        <v>57</v>
      </c>
      <c r="AJ106" s="1" t="s">
        <v>57</v>
      </c>
      <c r="AK106" s="1" t="s">
        <v>56</v>
      </c>
      <c r="AL106" s="1" t="s">
        <v>692</v>
      </c>
      <c r="AM106" s="1" t="s">
        <v>57</v>
      </c>
      <c r="AN106" s="1" t="s">
        <v>56</v>
      </c>
      <c r="AO106" s="1" t="s">
        <v>57</v>
      </c>
      <c r="AP106" s="1" t="s">
        <v>57</v>
      </c>
      <c r="AQ106" s="1" t="s">
        <v>56</v>
      </c>
      <c r="AR106" s="1" t="s">
        <v>59</v>
      </c>
      <c r="AS106" s="1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8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693</v>
      </c>
      <c r="C1" t="s">
        <v>1</v>
      </c>
      <c r="D1" t="s">
        <v>694</v>
      </c>
      <c r="E1" t="s">
        <v>695</v>
      </c>
      <c r="F1" t="s">
        <v>696</v>
      </c>
      <c r="G1" t="s">
        <v>697</v>
      </c>
      <c r="H1" t="s">
        <v>698</v>
      </c>
    </row>
    <row r="2" spans="1:8" x14ac:dyDescent="0.25">
      <c r="A2" s="1" t="s">
        <v>106</v>
      </c>
      <c r="B2" s="1" t="s">
        <v>699</v>
      </c>
      <c r="C2" s="1" t="s">
        <v>700</v>
      </c>
      <c r="D2" s="1" t="s">
        <v>701</v>
      </c>
      <c r="E2">
        <f>_xll.BDP($C2,"DUR_ADJ_MID")</f>
        <v>0.1877140668467098</v>
      </c>
      <c r="F2">
        <f>_xll.BDP($C2,"OAS_SPREAD_DUR_MID")</f>
        <v>0.18542237679672827</v>
      </c>
      <c r="G2" t="str">
        <f>_xll.BDP($C2,"MATURITY")</f>
        <v>9/3/2026</v>
      </c>
      <c r="H2" t="str">
        <f>_xll.BDP($C2,"RTG_SP")</f>
        <v>#N/A N/A</v>
      </c>
    </row>
    <row r="3" spans="1:8" x14ac:dyDescent="0.25">
      <c r="A3" s="1" t="s">
        <v>106</v>
      </c>
      <c r="B3" s="1" t="s">
        <v>702</v>
      </c>
      <c r="C3" s="1" t="s">
        <v>703</v>
      </c>
      <c r="D3" s="1" t="s">
        <v>704</v>
      </c>
      <c r="E3">
        <f>_xll.BDP($C3,"DUR_ADJ_MID")</f>
        <v>0.26311833199338303</v>
      </c>
      <c r="F3">
        <f>_xll.BDP($C3,"OAS_SPREAD_DUR_MID")</f>
        <v>0.26063497631457194</v>
      </c>
      <c r="G3" t="str">
        <f>_xll.BDP($C3,"MATURITY")</f>
        <v>10/1/2026</v>
      </c>
      <c r="H3" t="str">
        <f>_xll.BDP($C3,"RTG_SP")</f>
        <v>#N/A N/A</v>
      </c>
    </row>
    <row r="4" spans="1:8" x14ac:dyDescent="0.25">
      <c r="A4" s="1" t="s">
        <v>106</v>
      </c>
      <c r="B4" s="1" t="s">
        <v>705</v>
      </c>
      <c r="C4" s="1" t="s">
        <v>706</v>
      </c>
      <c r="D4" s="1" t="s">
        <v>707</v>
      </c>
      <c r="E4">
        <f>_xll.BDP($C4,"DUR_ADJ_MID")</f>
        <v>0.338006742680723</v>
      </c>
      <c r="F4">
        <f>_xll.BDP($C4,"OAS_SPREAD_DUR_MID")</f>
        <v>0.33574083777005326</v>
      </c>
      <c r="G4" t="str">
        <f>_xll.BDP($C4,"MATURITY")</f>
        <v>10/29/2026</v>
      </c>
      <c r="H4" t="str">
        <f>_xll.BDP($C4,"RTG_SP")</f>
        <v>#N/A N/A</v>
      </c>
    </row>
    <row r="5" spans="1:8" x14ac:dyDescent="0.25">
      <c r="A5" s="1" t="s">
        <v>106</v>
      </c>
      <c r="B5" s="1" t="s">
        <v>708</v>
      </c>
      <c r="C5" s="1" t="s">
        <v>709</v>
      </c>
      <c r="D5" s="1" t="s">
        <v>710</v>
      </c>
      <c r="E5">
        <f>_xll.BDP($C5,"DUR_ADJ_MID")</f>
        <v>0.41513438318152857</v>
      </c>
      <c r="F5">
        <f>_xll.BDP($C5,"OAS_SPREAD_DUR_MID")</f>
        <v>0.41360237194079419</v>
      </c>
      <c r="G5" t="str">
        <f>_xll.BDP($C5,"MATURITY")</f>
        <v>11/27/2026</v>
      </c>
      <c r="H5" t="str">
        <f>_xll.BDP($C5,"RTG_SP")</f>
        <v>#N/A N/A</v>
      </c>
    </row>
    <row r="6" spans="1:8" x14ac:dyDescent="0.25">
      <c r="A6" s="1" t="s">
        <v>106</v>
      </c>
      <c r="B6" s="1" t="s">
        <v>711</v>
      </c>
      <c r="C6" s="1" t="s">
        <v>712</v>
      </c>
      <c r="D6" s="1" t="s">
        <v>713</v>
      </c>
      <c r="E6">
        <f>_xll.BDP($C6,"DUR_ADJ_MID")</f>
        <v>0.48641652429650067</v>
      </c>
      <c r="F6">
        <f>_xll.BDP($C6,"OAS_SPREAD_DUR_MID")</f>
        <v>0.4859995312443563</v>
      </c>
      <c r="G6" t="str">
        <f>_xll.BDP($C6,"MATURITY")</f>
        <v>12/24/2026</v>
      </c>
      <c r="H6" t="str">
        <f>_xll.BDP($C6,"RTG_SP")</f>
        <v>#N/A N/A</v>
      </c>
    </row>
    <row r="7" spans="1:8" x14ac:dyDescent="0.25">
      <c r="A7" s="1" t="s">
        <v>106</v>
      </c>
      <c r="B7" s="1" t="s">
        <v>714</v>
      </c>
      <c r="C7" s="1" t="s">
        <v>715</v>
      </c>
      <c r="D7" s="1" t="s">
        <v>716</v>
      </c>
      <c r="E7">
        <f>_xll.BDP($C7,"DUR_ADJ_MID")</f>
        <v>0.5630379522442075</v>
      </c>
      <c r="F7">
        <f>_xll.BDP($C7,"OAS_SPREAD_DUR_MID")</f>
        <v>0.5614760861246979</v>
      </c>
      <c r="G7" t="str">
        <f>_xll.BDP($C7,"MATURITY")</f>
        <v>1/21/2027</v>
      </c>
      <c r="H7" t="str">
        <f>_xll.BDP($C7,"RTG_SP")</f>
        <v>#N/A N/A</v>
      </c>
    </row>
    <row r="8" spans="1:8" x14ac:dyDescent="0.25">
      <c r="A8" s="1" t="s">
        <v>106</v>
      </c>
      <c r="B8" s="1" t="s">
        <v>717</v>
      </c>
      <c r="C8" s="1" t="s">
        <v>718</v>
      </c>
      <c r="D8" s="1" t="s">
        <v>719</v>
      </c>
      <c r="E8">
        <f>_xll.BDP($C8,"DUR_ADJ_MID")</f>
        <v>0.63901048565057983</v>
      </c>
      <c r="F8">
        <f>_xll.BDP($C8,"OAS_SPREAD_DUR_MID")</f>
        <v>0.63658061402347188</v>
      </c>
      <c r="G8" t="str">
        <f>_xll.BDP($C8,"MATURITY")</f>
        <v>2/18/2027</v>
      </c>
      <c r="H8" t="str">
        <f>_xll.BDP($C8,"RTG_SP")</f>
        <v>#N/A N/A</v>
      </c>
    </row>
    <row r="9" spans="1:8" x14ac:dyDescent="0.25">
      <c r="A9" s="1" t="s">
        <v>106</v>
      </c>
      <c r="B9" s="1" t="s">
        <v>720</v>
      </c>
      <c r="C9" s="1" t="s">
        <v>721</v>
      </c>
      <c r="D9" s="1" t="s">
        <v>722</v>
      </c>
      <c r="E9">
        <f>_xll.BDP($C9,"DUR_ADJ_MID")</f>
        <v>0.71460371430025138</v>
      </c>
      <c r="F9">
        <f>_xll.BDP($C9,"OAS_SPREAD_DUR_MID")</f>
        <v>0.71175838813600434</v>
      </c>
      <c r="G9" t="str">
        <f>_xll.BDP($C9,"MATURITY")</f>
        <v>3/18/2027</v>
      </c>
      <c r="H9" t="str">
        <f>_xll.BDP($C9,"RTG_SP")</f>
        <v>#N/A N/A</v>
      </c>
    </row>
    <row r="10" spans="1:8" x14ac:dyDescent="0.25">
      <c r="A10" s="1" t="s">
        <v>106</v>
      </c>
      <c r="B10" s="1" t="s">
        <v>723</v>
      </c>
      <c r="C10" s="1" t="s">
        <v>724</v>
      </c>
      <c r="D10" s="1" t="s">
        <v>725</v>
      </c>
      <c r="E10">
        <f>_xll.BDP($C10,"DUR_ADJ_MID")</f>
        <v>0.78968141446981532</v>
      </c>
      <c r="F10">
        <f>_xll.BDP($C10,"OAS_SPREAD_DUR_MID")</f>
        <v>0.78685927281487966</v>
      </c>
      <c r="G10" t="str">
        <f>_xll.BDP($C10,"MATURITY")</f>
        <v>4/15/2027</v>
      </c>
      <c r="H10" t="str">
        <f>_xll.BDP($C10,"RTG_SP")</f>
        <v>#N/A N/A</v>
      </c>
    </row>
    <row r="11" spans="1:8" x14ac:dyDescent="0.25">
      <c r="A11" s="1" t="s">
        <v>106</v>
      </c>
      <c r="B11" s="1" t="s">
        <v>726</v>
      </c>
      <c r="C11" s="1" t="s">
        <v>727</v>
      </c>
      <c r="D11" s="1" t="s">
        <v>728</v>
      </c>
      <c r="E11">
        <f>_xll.BDP($C11,"DUR_ADJ_MID")</f>
        <v>0.20660726097029758</v>
      </c>
      <c r="F11">
        <f>_xll.BDP($C11,"OAS_SPREAD_DUR_MID")</f>
        <v>0.20422647014499534</v>
      </c>
      <c r="G11" t="str">
        <f>_xll.BDP($C11,"MATURITY")</f>
        <v>9/10/2026</v>
      </c>
      <c r="H11" t="str">
        <f>_xll.BDP($C11,"RTG_SP")</f>
        <v>#N/A N/A</v>
      </c>
    </row>
    <row r="12" spans="1:8" x14ac:dyDescent="0.25">
      <c r="A12" s="1" t="s">
        <v>106</v>
      </c>
      <c r="B12" s="1" t="s">
        <v>729</v>
      </c>
      <c r="C12" s="1" t="s">
        <v>730</v>
      </c>
      <c r="D12" s="1" t="s">
        <v>731</v>
      </c>
      <c r="E12">
        <f>_xll.BDP($C12,"DUR_ADJ_MID")</f>
        <v>0.22547426471908857</v>
      </c>
      <c r="F12">
        <f>_xll.BDP($C12,"OAS_SPREAD_DUR_MID")</f>
        <v>0.2230343416067207</v>
      </c>
      <c r="G12" t="str">
        <f>_xll.BDP($C12,"MATURITY")</f>
        <v>9/17/2026</v>
      </c>
      <c r="H12" t="str">
        <f>_xll.BDP($C12,"RTG_SP")</f>
        <v>#N/A N/A</v>
      </c>
    </row>
    <row r="13" spans="1:8" x14ac:dyDescent="0.25">
      <c r="A13" s="1" t="s">
        <v>106</v>
      </c>
      <c r="B13" s="1" t="s">
        <v>732</v>
      </c>
      <c r="C13" s="1" t="s">
        <v>733</v>
      </c>
      <c r="D13" s="1" t="s">
        <v>734</v>
      </c>
      <c r="E13">
        <f>_xll.BDP($C13,"DUR_ADJ_MID")</f>
        <v>0.24430629466635154</v>
      </c>
      <c r="F13">
        <f>_xll.BDP($C13,"OAS_SPREAD_DUR_MID")</f>
        <v>0.24182705352167863</v>
      </c>
      <c r="G13" t="str">
        <f>_xll.BDP($C13,"MATURITY")</f>
        <v>9/24/2026</v>
      </c>
      <c r="H13" t="str">
        <f>_xll.BDP($C13,"RTG_SP")</f>
        <v>#N/A N/A</v>
      </c>
    </row>
    <row r="14" spans="1:8" x14ac:dyDescent="0.25">
      <c r="A14" s="1" t="s">
        <v>106</v>
      </c>
      <c r="B14" s="1" t="s">
        <v>735</v>
      </c>
      <c r="C14" s="1" t="s">
        <v>736</v>
      </c>
      <c r="D14" s="1" t="s">
        <v>737</v>
      </c>
      <c r="E14">
        <f>_xll.BDP($C14,"DUR_ADJ_MID")</f>
        <v>0.28190850092250869</v>
      </c>
      <c r="F14">
        <f>_xll.BDP($C14,"OAS_SPREAD_DUR_MID")</f>
        <v>0.27945351259505374</v>
      </c>
      <c r="G14" t="str">
        <f>_xll.BDP($C14,"MATURITY")</f>
        <v>10/8/2026</v>
      </c>
      <c r="H14" t="str">
        <f>_xll.BDP($C14,"RTG_SP")</f>
        <v>#N/A N/A</v>
      </c>
    </row>
    <row r="15" spans="1:8" x14ac:dyDescent="0.25">
      <c r="A15" s="1" t="s">
        <v>106</v>
      </c>
      <c r="B15" s="1" t="s">
        <v>738</v>
      </c>
      <c r="C15" s="1" t="s">
        <v>739</v>
      </c>
      <c r="D15" s="1" t="s">
        <v>740</v>
      </c>
      <c r="E15">
        <f>_xll.BDP($C15,"DUR_ADJ_MID")</f>
        <v>0.30065075455244256</v>
      </c>
      <c r="F15">
        <f>_xll.BDP($C15,"OAS_SPREAD_DUR_MID")</f>
        <v>0.2982361933854894</v>
      </c>
      <c r="G15" t="str">
        <f>_xll.BDP($C15,"MATURITY")</f>
        <v>10/15/2026</v>
      </c>
      <c r="H15" t="str">
        <f>_xll.BDP($C15,"RTG_SP")</f>
        <v>#N/A N/A</v>
      </c>
    </row>
    <row r="16" spans="1:8" x14ac:dyDescent="0.25">
      <c r="A16" s="1" t="s">
        <v>106</v>
      </c>
      <c r="B16" s="1" t="s">
        <v>741</v>
      </c>
      <c r="C16" s="1" t="s">
        <v>742</v>
      </c>
      <c r="D16" s="1" t="s">
        <v>743</v>
      </c>
      <c r="E16">
        <f>_xll.BDP($C16,"DUR_ADJ_MID")</f>
        <v>0.31933003417670902</v>
      </c>
      <c r="F16">
        <f>_xll.BDP($C16,"OAS_SPREAD_DUR_MID")</f>
        <v>0.3169660833444643</v>
      </c>
      <c r="G16" t="str">
        <f>_xll.BDP($C16,"MATURITY")</f>
        <v>10/22/2026</v>
      </c>
      <c r="H16" t="str">
        <f>_xll.BDP($C16,"RTG_SP")</f>
        <v>#N/A N/A</v>
      </c>
    </row>
    <row r="17" spans="1:8" x14ac:dyDescent="0.25">
      <c r="A17" s="1" t="s">
        <v>106</v>
      </c>
      <c r="B17" s="1" t="s">
        <v>744</v>
      </c>
      <c r="C17" s="1" t="s">
        <v>745</v>
      </c>
      <c r="D17" s="1" t="s">
        <v>746</v>
      </c>
      <c r="E17">
        <f>_xll.BDP($C17,"DUR_ADJ_MID")</f>
        <v>0.35667269196094736</v>
      </c>
      <c r="F17">
        <f>_xll.BDP($C17,"OAS_SPREAD_DUR_MID")</f>
        <v>0.35454155649077801</v>
      </c>
      <c r="G17" t="str">
        <f>_xll.BDP($C17,"MATURITY")</f>
        <v>11/5/2026</v>
      </c>
      <c r="H17" t="str">
        <f>_xll.BDP($C17,"RTG_SP")</f>
        <v>#N/A N/A</v>
      </c>
    </row>
    <row r="18" spans="1:8" x14ac:dyDescent="0.25">
      <c r="A18" s="1" t="s">
        <v>106</v>
      </c>
      <c r="B18" s="1" t="s">
        <v>747</v>
      </c>
      <c r="C18" s="1" t="s">
        <v>748</v>
      </c>
      <c r="D18" s="1" t="s">
        <v>749</v>
      </c>
      <c r="E18">
        <f>_xll.BDP($C18,"DUR_ADJ_MID")</f>
        <v>0.18231387954364223</v>
      </c>
      <c r="F18">
        <f>_xll.BDP($C18,"OAS_SPREAD_DUR_MID")</f>
        <v>0.18005744847996497</v>
      </c>
      <c r="G18" t="str">
        <f>_xll.BDP($C18,"MATURITY")</f>
        <v>9/1/2026</v>
      </c>
      <c r="H18" t="str">
        <f>_xll.BDP($C18,"RTG_SP")</f>
        <v>#N/A N/A</v>
      </c>
    </row>
    <row r="19" spans="1:8" x14ac:dyDescent="0.25">
      <c r="A19" s="1" t="s">
        <v>106</v>
      </c>
      <c r="B19" s="1" t="s">
        <v>750</v>
      </c>
      <c r="C19" s="1" t="s">
        <v>751</v>
      </c>
      <c r="D19" s="1" t="s">
        <v>752</v>
      </c>
      <c r="E19">
        <f>_xll.BDP($C19,"DUR_ADJ_MID")</f>
        <v>0.86434476214339395</v>
      </c>
      <c r="F19">
        <f>_xll.BDP($C19,"OAS_SPREAD_DUR_MID")</f>
        <v>0.8620010823637263</v>
      </c>
      <c r="G19" t="str">
        <f>_xll.BDP($C19,"MATURITY")</f>
        <v>5/13/2027</v>
      </c>
      <c r="H19" t="str">
        <f>_xll.BDP($C19,"RTG_SP")</f>
        <v>#N/A N/A</v>
      </c>
    </row>
    <row r="20" spans="1:8" x14ac:dyDescent="0.25">
      <c r="A20" s="1" t="s">
        <v>106</v>
      </c>
      <c r="B20" s="1" t="s">
        <v>753</v>
      </c>
      <c r="C20" s="1" t="s">
        <v>754</v>
      </c>
      <c r="D20" s="1" t="s">
        <v>755</v>
      </c>
      <c r="E20">
        <f>_xll.BDP($C20,"DUR_ADJ_MID")</f>
        <v>0.37529822970615051</v>
      </c>
      <c r="F20">
        <f>_xll.BDP($C20,"OAS_SPREAD_DUR_MID")</f>
        <v>0.37332556769034514</v>
      </c>
      <c r="G20" t="str">
        <f>_xll.BDP($C20,"MATURITY")</f>
        <v>11/12/2026</v>
      </c>
      <c r="H20" t="str">
        <f>_xll.BDP($C20,"RTG_SP")</f>
        <v>#N/A N/A</v>
      </c>
    </row>
    <row r="21" spans="1:8" x14ac:dyDescent="0.25">
      <c r="A21" s="1" t="s">
        <v>106</v>
      </c>
      <c r="B21" s="1" t="s">
        <v>756</v>
      </c>
      <c r="C21" s="1" t="s">
        <v>757</v>
      </c>
      <c r="D21" s="1" t="s">
        <v>758</v>
      </c>
      <c r="E21">
        <f>_xll.BDP($C21,"DUR_ADJ_MID")</f>
        <v>0.39390871838902863</v>
      </c>
      <c r="F21">
        <f>_xll.BDP($C21,"OAS_SPREAD_DUR_MID")</f>
        <v>0.3921267888471543</v>
      </c>
      <c r="G21" t="str">
        <f>_xll.BDP($C21,"MATURITY")</f>
        <v>11/19/2026</v>
      </c>
      <c r="H21" t="str">
        <f>_xll.BDP($C21,"RTG_SP")</f>
        <v>#N/A N/A</v>
      </c>
    </row>
    <row r="22" spans="1:8" x14ac:dyDescent="0.25">
      <c r="A22" s="1" t="s">
        <v>106</v>
      </c>
      <c r="B22" s="1" t="s">
        <v>759</v>
      </c>
      <c r="C22" s="1" t="s">
        <v>760</v>
      </c>
      <c r="D22" s="1" t="s">
        <v>761</v>
      </c>
      <c r="E22">
        <f>_xll.BDP($C22,"DUR_ADJ_MID")</f>
        <v>0.20121411417555279</v>
      </c>
      <c r="F22">
        <f>_xll.BDP($C22,"OAS_SPREAD_DUR_MID")</f>
        <v>0.19885970907228909</v>
      </c>
      <c r="G22" t="str">
        <f>_xll.BDP($C22,"MATURITY")</f>
        <v>9/8/2026</v>
      </c>
      <c r="H22" t="str">
        <f>_xll.BDP($C22,"RTG_SP")</f>
        <v>#N/A N/A</v>
      </c>
    </row>
    <row r="23" spans="1:8" x14ac:dyDescent="0.25">
      <c r="A23" s="1" t="s">
        <v>106</v>
      </c>
      <c r="B23" s="1" t="s">
        <v>762</v>
      </c>
      <c r="C23" s="1" t="s">
        <v>763</v>
      </c>
      <c r="D23" s="1" t="s">
        <v>764</v>
      </c>
      <c r="E23">
        <f>_xll.BDP($C23,"DUR_ADJ_MID")</f>
        <v>0.22010749161358856</v>
      </c>
      <c r="F23">
        <f>_xll.BDP($C23,"OAS_SPREAD_DUR_MID")</f>
        <v>0.21770818653564072</v>
      </c>
      <c r="G23" t="str">
        <f>_xll.BDP($C23,"MATURITY")</f>
        <v>9/15/2026</v>
      </c>
      <c r="H23" t="str">
        <f>_xll.BDP($C23,"RTG_SP")</f>
        <v>#N/A N/A</v>
      </c>
    </row>
    <row r="24" spans="1:8" x14ac:dyDescent="0.25">
      <c r="A24" s="1" t="s">
        <v>106</v>
      </c>
      <c r="B24" s="1" t="s">
        <v>765</v>
      </c>
      <c r="C24" s="1" t="s">
        <v>766</v>
      </c>
      <c r="D24" s="1" t="s">
        <v>767</v>
      </c>
      <c r="E24">
        <f>_xll.BDP($C24,"DUR_ADJ_MID")</f>
        <v>0.23895568232714379</v>
      </c>
      <c r="F24">
        <f>_xll.BDP($C24,"OAS_SPREAD_DUR_MID")</f>
        <v>0.2365138367338229</v>
      </c>
      <c r="G24" t="str">
        <f>_xll.BDP($C24,"MATURITY")</f>
        <v>9/22/2026</v>
      </c>
      <c r="H24" t="str">
        <f>_xll.BDP($C24,"RTG_SP")</f>
        <v>#N/A N/A</v>
      </c>
    </row>
    <row r="25" spans="1:8" x14ac:dyDescent="0.25">
      <c r="A25" s="1" t="s">
        <v>127</v>
      </c>
      <c r="B25" s="1" t="s">
        <v>768</v>
      </c>
      <c r="C25" s="1" t="s">
        <v>769</v>
      </c>
      <c r="D25" s="1" t="s">
        <v>770</v>
      </c>
      <c r="E25">
        <f>_xll.BDP($C25,"DUR_ADJ_MID")</f>
        <v>3.5570658520445518E-2</v>
      </c>
      <c r="F25">
        <f>_xll.BDP($C25,"OAS_SPREAD_DUR_MID")</f>
        <v>3.4954757133281472E-2</v>
      </c>
      <c r="G25" t="str">
        <f>_xll.BDP($C25,"MATURITY")</f>
        <v>7/9/2026</v>
      </c>
      <c r="H25" t="str">
        <f>_xll.BDP($C25,"RTG_SP")</f>
        <v>#N/A N/A</v>
      </c>
    </row>
    <row r="26" spans="1:8" x14ac:dyDescent="0.25">
      <c r="A26" s="1" t="s">
        <v>127</v>
      </c>
      <c r="B26" s="1" t="s">
        <v>771</v>
      </c>
      <c r="C26" s="1" t="s">
        <v>772</v>
      </c>
      <c r="D26" s="1" t="s">
        <v>773</v>
      </c>
      <c r="E26">
        <f>_xll.BDP($C26,"DUR_ADJ_MID")</f>
        <v>0.11186690151241746</v>
      </c>
      <c r="F26">
        <f>_xll.BDP($C26,"OAS_SPREAD_DUR_MID")</f>
        <v>0.1102108369657722</v>
      </c>
      <c r="G26" t="str">
        <f>_xll.BDP($C26,"MATURITY")</f>
        <v>8/6/2026</v>
      </c>
      <c r="H26" t="str">
        <f>_xll.BDP($C26,"RTG_SP")</f>
        <v>#N/A N/A</v>
      </c>
    </row>
    <row r="27" spans="1:8" x14ac:dyDescent="0.25">
      <c r="A27" s="1" t="s">
        <v>127</v>
      </c>
      <c r="B27" s="1" t="s">
        <v>699</v>
      </c>
      <c r="C27" s="1" t="s">
        <v>700</v>
      </c>
      <c r="D27" s="1" t="s">
        <v>774</v>
      </c>
      <c r="E27">
        <f>_xll.BDP($C27,"DUR_ADJ_MID")</f>
        <v>0.1877140668467098</v>
      </c>
      <c r="F27">
        <f>_xll.BDP($C27,"OAS_SPREAD_DUR_MID")</f>
        <v>0.18542237679672827</v>
      </c>
      <c r="G27" t="str">
        <f>_xll.BDP($C27,"MATURITY")</f>
        <v>9/3/2026</v>
      </c>
      <c r="H27" t="str">
        <f>_xll.BDP($C27,"RTG_SP")</f>
        <v>#N/A N/A</v>
      </c>
    </row>
    <row r="28" spans="1:8" x14ac:dyDescent="0.25">
      <c r="A28" s="1" t="s">
        <v>127</v>
      </c>
      <c r="B28" s="1" t="s">
        <v>775</v>
      </c>
      <c r="C28" s="1" t="s">
        <v>776</v>
      </c>
      <c r="D28" s="1" t="s">
        <v>777</v>
      </c>
      <c r="E28" t="str">
        <f>_xll.BDP($C28,"DUR_ADJ_MID")</f>
        <v>#N/A N/A</v>
      </c>
      <c r="F28" t="str">
        <f>_xll.BDP($C28,"OAS_SPREAD_DUR_MID")</f>
        <v>#N/A Field Not Applicable</v>
      </c>
      <c r="G28" t="str">
        <f>_xll.BDP($C28,"MATURITY")</f>
        <v>6/25/2026</v>
      </c>
      <c r="H28" t="str">
        <f>_xll.BDP($C28,"RTG_SP")</f>
        <v>#N/A N/A</v>
      </c>
    </row>
    <row r="29" spans="1:8" x14ac:dyDescent="0.25">
      <c r="A29" s="1" t="s">
        <v>127</v>
      </c>
      <c r="B29" s="1" t="s">
        <v>778</v>
      </c>
      <c r="C29" s="1" t="s">
        <v>779</v>
      </c>
      <c r="D29" s="1" t="s">
        <v>780</v>
      </c>
      <c r="E29">
        <f>_xll.BDP($C29,"DUR_ADJ_MID")</f>
        <v>1.642857246477368E-2</v>
      </c>
      <c r="F29">
        <f>_xll.BDP($C29,"OAS_SPREAD_DUR_MID")</f>
        <v>1.6132112001792549E-2</v>
      </c>
      <c r="G29" t="str">
        <f>_xll.BDP($C29,"MATURITY")</f>
        <v>7/2/2026</v>
      </c>
      <c r="H29" t="str">
        <f>_xll.BDP($C29,"RTG_SP")</f>
        <v>#N/A N/A</v>
      </c>
    </row>
    <row r="30" spans="1:8" x14ac:dyDescent="0.25">
      <c r="A30" s="1" t="s">
        <v>127</v>
      </c>
      <c r="B30" s="1" t="s">
        <v>781</v>
      </c>
      <c r="C30" s="1" t="s">
        <v>782</v>
      </c>
      <c r="D30" s="1" t="s">
        <v>783</v>
      </c>
      <c r="E30">
        <f>_xll.BDP($C30,"DUR_ADJ_MID")</f>
        <v>5.4686152209022003E-2</v>
      </c>
      <c r="F30">
        <f>_xll.BDP($C30,"OAS_SPREAD_DUR_MID")</f>
        <v>5.3776109799808944E-2</v>
      </c>
      <c r="G30" t="str">
        <f>_xll.BDP($C30,"MATURITY")</f>
        <v>7/16/2026</v>
      </c>
      <c r="H30" t="str">
        <f>_xll.BDP($C30,"RTG_SP")</f>
        <v>#N/A N/A</v>
      </c>
    </row>
    <row r="31" spans="1:8" x14ac:dyDescent="0.25">
      <c r="A31" s="1" t="s">
        <v>127</v>
      </c>
      <c r="B31" s="1" t="s">
        <v>784</v>
      </c>
      <c r="C31" s="1" t="s">
        <v>785</v>
      </c>
      <c r="D31" s="1" t="s">
        <v>786</v>
      </c>
      <c r="E31">
        <f>_xll.BDP($C31,"DUR_ADJ_MID")</f>
        <v>7.3774957196510005E-2</v>
      </c>
      <c r="F31">
        <f>_xll.BDP($C31,"OAS_SPREAD_DUR_MID")</f>
        <v>7.2596373466715408E-2</v>
      </c>
      <c r="G31" t="str">
        <f>_xll.BDP($C31,"MATURITY")</f>
        <v>7/23/2026</v>
      </c>
      <c r="H31" t="str">
        <f>_xll.BDP($C31,"RTG_SP")</f>
        <v>#N/A N/A</v>
      </c>
    </row>
    <row r="32" spans="1:8" x14ac:dyDescent="0.25">
      <c r="A32" s="1" t="s">
        <v>127</v>
      </c>
      <c r="B32" s="1" t="s">
        <v>787</v>
      </c>
      <c r="C32" s="1" t="s">
        <v>788</v>
      </c>
      <c r="D32" s="1" t="s">
        <v>789</v>
      </c>
      <c r="E32">
        <f>_xll.BDP($C32,"DUR_ADJ_MID")</f>
        <v>9.2835732123127165E-2</v>
      </c>
      <c r="F32">
        <f>_xll.BDP($C32,"OAS_SPREAD_DUR_MID")</f>
        <v>9.1408999016638556E-2</v>
      </c>
      <c r="G32" t="str">
        <f>_xll.BDP($C32,"MATURITY")</f>
        <v>7/30/2026</v>
      </c>
      <c r="H32" t="str">
        <f>_xll.BDP($C32,"RTG_SP")</f>
        <v>#N/A N/A</v>
      </c>
    </row>
    <row r="33" spans="1:8" x14ac:dyDescent="0.25">
      <c r="A33" s="1" t="s">
        <v>127</v>
      </c>
      <c r="B33" s="1" t="s">
        <v>790</v>
      </c>
      <c r="C33" s="1" t="s">
        <v>791</v>
      </c>
      <c r="D33" s="1" t="s">
        <v>792</v>
      </c>
      <c r="E33">
        <f>_xll.BDP($C33,"DUR_ADJ_MID")</f>
        <v>0.13087091728244737</v>
      </c>
      <c r="F33">
        <f>_xll.BDP($C33,"OAS_SPREAD_DUR_MID")</f>
        <v>0.12901576374107285</v>
      </c>
      <c r="G33" t="str">
        <f>_xll.BDP($C33,"MATURITY")</f>
        <v>8/13/2026</v>
      </c>
      <c r="H33" t="str">
        <f>_xll.BDP($C33,"RTG_SP")</f>
        <v>#N/A N/A</v>
      </c>
    </row>
    <row r="34" spans="1:8" x14ac:dyDescent="0.25">
      <c r="A34" s="1" t="s">
        <v>127</v>
      </c>
      <c r="B34" s="1" t="s">
        <v>793</v>
      </c>
      <c r="C34" s="1" t="s">
        <v>794</v>
      </c>
      <c r="D34" s="1" t="s">
        <v>795</v>
      </c>
      <c r="E34">
        <f>_xll.BDP($C34,"DUR_ADJ_MID")</f>
        <v>0.14984846379086181</v>
      </c>
      <c r="F34">
        <f>_xll.BDP($C34,"OAS_SPREAD_DUR_MID")</f>
        <v>0.14782402816761431</v>
      </c>
      <c r="G34" t="str">
        <f>_xll.BDP($C34,"MATURITY")</f>
        <v>8/20/2026</v>
      </c>
      <c r="H34" t="str">
        <f>_xll.BDP($C34,"RTG_SP")</f>
        <v>#N/A N/A</v>
      </c>
    </row>
    <row r="35" spans="1:8" x14ac:dyDescent="0.25">
      <c r="A35" s="1" t="s">
        <v>127</v>
      </c>
      <c r="B35" s="1" t="s">
        <v>796</v>
      </c>
      <c r="C35" s="1" t="s">
        <v>797</v>
      </c>
      <c r="D35" s="1" t="s">
        <v>798</v>
      </c>
      <c r="E35">
        <f>_xll.BDP($C35,"DUR_ADJ_MID")</f>
        <v>0.16879260309282357</v>
      </c>
      <c r="F35">
        <f>_xll.BDP($C35,"OAS_SPREAD_DUR_MID")</f>
        <v>0.16661526821746533</v>
      </c>
      <c r="G35" t="str">
        <f>_xll.BDP($C35,"MATURITY")</f>
        <v>8/27/2026</v>
      </c>
      <c r="H35" t="str">
        <f>_xll.BDP($C35,"RTG_SP")</f>
        <v>#N/A N/A</v>
      </c>
    </row>
    <row r="36" spans="1:8" x14ac:dyDescent="0.25">
      <c r="A36" s="1" t="s">
        <v>127</v>
      </c>
      <c r="B36" s="1" t="s">
        <v>799</v>
      </c>
      <c r="C36" s="1" t="s">
        <v>800</v>
      </c>
      <c r="D36" s="1" t="s">
        <v>801</v>
      </c>
      <c r="E36">
        <f>_xll.BDP($C36,"DUR_ADJ_MID")</f>
        <v>1.0954587579181146E-2</v>
      </c>
      <c r="F36">
        <f>_xll.BDP($C36,"OAS_SPREAD_DUR_MID")</f>
        <v>1.0756185017902441E-2</v>
      </c>
      <c r="G36" t="str">
        <f>_xll.BDP($C36,"MATURITY")</f>
        <v>6/30/2026</v>
      </c>
      <c r="H36" t="str">
        <f>_xll.BDP($C36,"RTG_SP")</f>
        <v>#N/A N/A</v>
      </c>
    </row>
    <row r="37" spans="1:8" x14ac:dyDescent="0.25">
      <c r="A37" s="1" t="s">
        <v>127</v>
      </c>
      <c r="B37" s="1" t="s">
        <v>802</v>
      </c>
      <c r="C37" s="1" t="s">
        <v>803</v>
      </c>
      <c r="D37" s="1" t="s">
        <v>804</v>
      </c>
      <c r="E37">
        <f>_xll.BDP($C37,"DUR_ADJ_MID")</f>
        <v>3.0104135354684258E-2</v>
      </c>
      <c r="F37">
        <f>_xll.BDP($C37,"OAS_SPREAD_DUR_MID")</f>
        <v>2.9575950608562475E-2</v>
      </c>
      <c r="G37" t="str">
        <f>_xll.BDP($C37,"MATURITY")</f>
        <v>7/7/2026</v>
      </c>
      <c r="H37" t="str">
        <f>_xll.BDP($C37,"RTG_SP")</f>
        <v>#N/A N/A</v>
      </c>
    </row>
    <row r="38" spans="1:8" x14ac:dyDescent="0.25">
      <c r="A38" s="1" t="s">
        <v>127</v>
      </c>
      <c r="B38" s="1" t="s">
        <v>805</v>
      </c>
      <c r="C38" s="1" t="s">
        <v>806</v>
      </c>
      <c r="D38" s="1" t="s">
        <v>807</v>
      </c>
      <c r="E38">
        <f>_xll.BDP($C38,"DUR_ADJ_MID")</f>
        <v>4.9227123699682768E-2</v>
      </c>
      <c r="F38">
        <f>_xll.BDP($C38,"OAS_SPREAD_DUR_MID")</f>
        <v>4.8396917899408844E-2</v>
      </c>
      <c r="G38" t="str">
        <f>_xll.BDP($C38,"MATURITY")</f>
        <v>7/14/2026</v>
      </c>
      <c r="H38" t="str">
        <f>_xll.BDP($C38,"RTG_SP")</f>
        <v>#N/A N/A</v>
      </c>
    </row>
    <row r="39" spans="1:8" x14ac:dyDescent="0.25">
      <c r="A39" s="1" t="s">
        <v>127</v>
      </c>
      <c r="B39" s="1" t="s">
        <v>808</v>
      </c>
      <c r="C39" s="1" t="s">
        <v>809</v>
      </c>
      <c r="D39" s="1" t="s">
        <v>810</v>
      </c>
      <c r="E39">
        <f>_xll.BDP($C39,"DUR_ADJ_MID")</f>
        <v>6.8322999907383927E-2</v>
      </c>
      <c r="F39">
        <f>_xll.BDP($C39,"OAS_SPREAD_DUR_MID")</f>
        <v>6.7213920915624212E-2</v>
      </c>
      <c r="G39" t="str">
        <f>_xll.BDP($C39,"MATURITY")</f>
        <v>7/21/2026</v>
      </c>
      <c r="H39" t="str">
        <f>_xll.BDP($C39,"RTG_SP")</f>
        <v>#N/A N/A</v>
      </c>
    </row>
    <row r="40" spans="1:8" x14ac:dyDescent="0.25">
      <c r="A40" s="1" t="s">
        <v>127</v>
      </c>
      <c r="B40" s="1" t="s">
        <v>811</v>
      </c>
      <c r="C40" s="1" t="s">
        <v>812</v>
      </c>
      <c r="D40" s="1" t="s">
        <v>813</v>
      </c>
      <c r="E40">
        <f>_xll.BDP($C40,"DUR_ADJ_MID")</f>
        <v>8.7392563051079467E-2</v>
      </c>
      <c r="F40">
        <f>_xll.BDP($C40,"OAS_SPREAD_DUR_MID")</f>
        <v>8.6033932573123847E-2</v>
      </c>
      <c r="G40" t="str">
        <f>_xll.BDP($C40,"MATURITY")</f>
        <v>7/28/2026</v>
      </c>
      <c r="H40" t="str">
        <f>_xll.BDP($C40,"RTG_SP")</f>
        <v>#N/A N/A</v>
      </c>
    </row>
    <row r="41" spans="1:8" x14ac:dyDescent="0.25">
      <c r="A41" s="1" t="s">
        <v>127</v>
      </c>
      <c r="B41" s="1" t="s">
        <v>814</v>
      </c>
      <c r="C41" s="1" t="s">
        <v>815</v>
      </c>
      <c r="D41" s="1" t="s">
        <v>816</v>
      </c>
      <c r="E41">
        <f>_xll.BDP($C41,"DUR_ADJ_MID")</f>
        <v>0.10643208186186424</v>
      </c>
      <c r="F41">
        <f>_xll.BDP($C41,"OAS_SPREAD_DUR_MID")</f>
        <v>0.10483797060506947</v>
      </c>
      <c r="G41" t="str">
        <f>_xll.BDP($C41,"MATURITY")</f>
        <v>8/4/2026</v>
      </c>
      <c r="H41" t="str">
        <f>_xll.BDP($C41,"RTG_SP")</f>
        <v>#N/A N/A</v>
      </c>
    </row>
    <row r="42" spans="1:8" x14ac:dyDescent="0.25">
      <c r="A42" s="1" t="s">
        <v>127</v>
      </c>
      <c r="B42" s="1" t="s">
        <v>817</v>
      </c>
      <c r="C42" s="1" t="s">
        <v>818</v>
      </c>
      <c r="D42" s="1" t="s">
        <v>819</v>
      </c>
      <c r="E42">
        <f>_xll.BDP($C42,"DUR_ADJ_MID")</f>
        <v>0.12544529598632981</v>
      </c>
      <c r="F42">
        <f>_xll.BDP($C42,"OAS_SPREAD_DUR_MID")</f>
        <v>0.12364791544566033</v>
      </c>
      <c r="G42" t="str">
        <f>_xll.BDP($C42,"MATURITY")</f>
        <v>8/11/2026</v>
      </c>
      <c r="H42" t="str">
        <f>_xll.BDP($C42,"RTG_SP")</f>
        <v>#N/A N/A</v>
      </c>
    </row>
    <row r="43" spans="1:8" x14ac:dyDescent="0.25">
      <c r="A43" s="1" t="s">
        <v>127</v>
      </c>
      <c r="B43" s="1" t="s">
        <v>820</v>
      </c>
      <c r="C43" s="1" t="s">
        <v>821</v>
      </c>
      <c r="D43" s="1" t="s">
        <v>822</v>
      </c>
      <c r="E43">
        <f>_xll.BDP($C43,"DUR_ADJ_MID")</f>
        <v>0.14442601404916383</v>
      </c>
      <c r="F43">
        <f>_xll.BDP($C43,"OAS_SPREAD_DUR_MID")</f>
        <v>0.14244022495679923</v>
      </c>
      <c r="G43" t="str">
        <f>_xll.BDP($C43,"MATURITY")</f>
        <v>8/18/2026</v>
      </c>
      <c r="H43" t="str">
        <f>_xll.BDP($C43,"RTG_SP")</f>
        <v>#N/A N/A</v>
      </c>
    </row>
    <row r="44" spans="1:8" x14ac:dyDescent="0.25">
      <c r="A44" s="1" t="s">
        <v>127</v>
      </c>
      <c r="B44" s="1" t="s">
        <v>823</v>
      </c>
      <c r="C44" s="1" t="s">
        <v>824</v>
      </c>
      <c r="D44" s="1" t="s">
        <v>825</v>
      </c>
      <c r="E44">
        <f>_xll.BDP($C44,"DUR_ADJ_MID")</f>
        <v>0.16338912333188593</v>
      </c>
      <c r="F44">
        <f>_xll.BDP($C44,"OAS_SPREAD_DUR_MID")</f>
        <v>0.16126513827883346</v>
      </c>
      <c r="G44" t="str">
        <f>_xll.BDP($C44,"MATURITY")</f>
        <v>8/25/2026</v>
      </c>
      <c r="H44" t="str">
        <f>_xll.BDP($C44,"RTG_SP")</f>
        <v>#N/A N/A</v>
      </c>
    </row>
    <row r="45" spans="1:8" x14ac:dyDescent="0.25">
      <c r="A45" s="1" t="s">
        <v>127</v>
      </c>
      <c r="B45" s="1" t="s">
        <v>747</v>
      </c>
      <c r="C45" s="1" t="s">
        <v>748</v>
      </c>
      <c r="D45" s="1" t="s">
        <v>826</v>
      </c>
      <c r="E45">
        <f>_xll.BDP($C45,"DUR_ADJ_MID")</f>
        <v>0.18231387954364223</v>
      </c>
      <c r="F45">
        <f>_xll.BDP($C45,"OAS_SPREAD_DUR_MID")</f>
        <v>0.18005744847996497</v>
      </c>
      <c r="G45" t="str">
        <f>_xll.BDP($C45,"MATURITY")</f>
        <v>9/1/2026</v>
      </c>
      <c r="H45" t="str">
        <f>_xll.BDP($C45,"RTG_SP")</f>
        <v>#N/A N/A</v>
      </c>
    </row>
    <row r="46" spans="1:8" x14ac:dyDescent="0.25">
      <c r="A46" s="1" t="s">
        <v>127</v>
      </c>
      <c r="B46" s="1" t="s">
        <v>759</v>
      </c>
      <c r="C46" s="1" t="s">
        <v>760</v>
      </c>
      <c r="D46" s="1" t="s">
        <v>827</v>
      </c>
      <c r="E46">
        <f>_xll.BDP($C46,"DUR_ADJ_MID")</f>
        <v>0.20121411417555279</v>
      </c>
      <c r="F46">
        <f>_xll.BDP($C46,"OAS_SPREAD_DUR_MID")</f>
        <v>0.19885970907228909</v>
      </c>
      <c r="G46" t="str">
        <f>_xll.BDP($C46,"MATURITY")</f>
        <v>9/8/2026</v>
      </c>
      <c r="H46" t="str">
        <f>_xll.BDP($C46,"RTG_SP")</f>
        <v>#N/A N/A</v>
      </c>
    </row>
    <row r="47" spans="1:8" x14ac:dyDescent="0.25">
      <c r="A47" s="1" t="s">
        <v>133</v>
      </c>
      <c r="B47" s="1" t="s">
        <v>828</v>
      </c>
      <c r="C47" s="1" t="s">
        <v>829</v>
      </c>
      <c r="D47" s="1" t="s">
        <v>830</v>
      </c>
      <c r="E47">
        <f>_xll.BDP($C47,"DUR_ADJ_MID")</f>
        <v>2.4701007868368476</v>
      </c>
      <c r="F47">
        <f>_xll.BDP($C47,"OAS_SPREAD_DUR_MID")</f>
        <v>2.4691492888139579</v>
      </c>
      <c r="G47" t="str">
        <f>_xll.BDP($C47,"MATURITY")</f>
        <v>3/15/2029</v>
      </c>
      <c r="H47" t="str">
        <f>_xll.BDP($C47,"RTG_SP")</f>
        <v>B</v>
      </c>
    </row>
    <row r="48" spans="1:8" x14ac:dyDescent="0.25">
      <c r="A48" s="1" t="s">
        <v>133</v>
      </c>
      <c r="B48" s="1" t="s">
        <v>831</v>
      </c>
      <c r="C48" s="1" t="s">
        <v>832</v>
      </c>
      <c r="D48" s="1" t="s">
        <v>833</v>
      </c>
      <c r="E48">
        <f>_xll.BDP($C48,"DUR_ADJ_MID")</f>
        <v>2.8083835275278211</v>
      </c>
      <c r="F48">
        <f>_xll.BDP($C48,"OAS_SPREAD_DUR_MID")</f>
        <v>2.667353690051117</v>
      </c>
      <c r="G48" t="str">
        <f>_xll.BDP($C48,"MATURITY")</f>
        <v>8/1/2029</v>
      </c>
      <c r="H48" t="str">
        <f>_xll.BDP($C48,"RTG_SP")</f>
        <v>BB</v>
      </c>
    </row>
    <row r="49" spans="1:8" x14ac:dyDescent="0.25">
      <c r="A49" s="1" t="s">
        <v>133</v>
      </c>
      <c r="B49" s="1" t="s">
        <v>834</v>
      </c>
      <c r="C49" s="1" t="s">
        <v>835</v>
      </c>
      <c r="D49" s="1" t="s">
        <v>836</v>
      </c>
      <c r="E49">
        <f>_xll.BDP($C49,"DUR_ADJ_MID")</f>
        <v>1.3448973048925725</v>
      </c>
      <c r="F49">
        <f>_xll.BDP($C49,"OAS_SPREAD_DUR_MID")</f>
        <v>1.3231667283499067</v>
      </c>
      <c r="G49" t="str">
        <f>_xll.BDP($C49,"MATURITY")</f>
        <v>4/20/2029</v>
      </c>
      <c r="H49" t="str">
        <f>_xll.BDP($C49,"RTG_SP")</f>
        <v>#N/A N/A</v>
      </c>
    </row>
    <row r="50" spans="1:8" x14ac:dyDescent="0.25">
      <c r="A50" s="1" t="s">
        <v>133</v>
      </c>
      <c r="B50" s="1" t="s">
        <v>837</v>
      </c>
      <c r="C50" s="1" t="s">
        <v>838</v>
      </c>
      <c r="D50" s="1" t="s">
        <v>839</v>
      </c>
      <c r="E50">
        <f>_xll.BDP($C50,"DUR_ADJ_MID")</f>
        <v>3.5983961597980487</v>
      </c>
      <c r="F50">
        <f>_xll.BDP($C50,"OAS_SPREAD_DUR_MID")</f>
        <v>3.2701134696175056</v>
      </c>
      <c r="G50" t="str">
        <f>_xll.BDP($C50,"MATURITY")</f>
        <v>11/6/2030</v>
      </c>
      <c r="H50" t="str">
        <f>_xll.BDP($C50,"RTG_SP")</f>
        <v>B</v>
      </c>
    </row>
    <row r="51" spans="1:8" x14ac:dyDescent="0.25">
      <c r="A51" s="1" t="s">
        <v>133</v>
      </c>
      <c r="B51" s="1" t="s">
        <v>840</v>
      </c>
      <c r="C51" s="1" t="s">
        <v>841</v>
      </c>
      <c r="D51" s="1" t="s">
        <v>842</v>
      </c>
      <c r="E51">
        <f>_xll.BDP($C51,"DUR_ADJ_MID")</f>
        <v>9.6717552359256123E-2</v>
      </c>
      <c r="F51">
        <f>_xll.BDP($C51,"OAS_SPREAD_DUR_MID")</f>
        <v>0.28795233007252496</v>
      </c>
      <c r="G51" t="str">
        <f>_xll.BDP($C51,"MATURITY")</f>
        <v>8/1/2028</v>
      </c>
      <c r="H51" t="str">
        <f>_xll.BDP($C51,"RTG_SP")</f>
        <v>BB-</v>
      </c>
    </row>
    <row r="52" spans="1:8" x14ac:dyDescent="0.25">
      <c r="A52" s="1" t="s">
        <v>133</v>
      </c>
      <c r="B52" s="1" t="s">
        <v>843</v>
      </c>
      <c r="C52" s="1" t="s">
        <v>844</v>
      </c>
      <c r="D52" s="1" t="s">
        <v>845</v>
      </c>
      <c r="E52">
        <f>_xll.BDP($C52,"DUR_ADJ_MID")</f>
        <v>3.4356979008402542</v>
      </c>
      <c r="F52">
        <f>_xll.BDP($C52,"OAS_SPREAD_DUR_MID")</f>
        <v>3.4100344403571063</v>
      </c>
      <c r="G52" t="str">
        <f>_xll.BDP($C52,"MATURITY")</f>
        <v>4/15/2030</v>
      </c>
      <c r="H52" t="str">
        <f>_xll.BDP($C52,"RTG_SP")</f>
        <v>BB</v>
      </c>
    </row>
    <row r="53" spans="1:8" x14ac:dyDescent="0.25">
      <c r="A53" s="1" t="s">
        <v>133</v>
      </c>
      <c r="B53" s="1" t="s">
        <v>846</v>
      </c>
      <c r="C53" s="1" t="s">
        <v>847</v>
      </c>
      <c r="D53" s="1" t="s">
        <v>848</v>
      </c>
      <c r="E53">
        <f>_xll.BDP($C53,"DUR_ADJ_MID")</f>
        <v>2.5206940282092245</v>
      </c>
      <c r="F53">
        <f>_xll.BDP($C53,"OAS_SPREAD_DUR_MID")</f>
        <v>2.502435461992933</v>
      </c>
      <c r="G53" t="str">
        <f>_xll.BDP($C53,"MATURITY")</f>
        <v>3/15/2029</v>
      </c>
      <c r="H53" t="str">
        <f>_xll.BDP($C53,"RTG_SP")</f>
        <v>BB+</v>
      </c>
    </row>
    <row r="54" spans="1:8" x14ac:dyDescent="0.25">
      <c r="A54" s="1" t="s">
        <v>133</v>
      </c>
      <c r="B54" s="1" t="s">
        <v>849</v>
      </c>
      <c r="C54" s="1" t="s">
        <v>850</v>
      </c>
      <c r="D54" s="1" t="s">
        <v>851</v>
      </c>
      <c r="E54">
        <f>_xll.BDP($C54,"DUR_ADJ_MID")</f>
        <v>2.5597649761388506</v>
      </c>
      <c r="F54">
        <f>_xll.BDP($C54,"OAS_SPREAD_DUR_MID")</f>
        <v>2.0607525429843112</v>
      </c>
      <c r="G54" t="str">
        <f>_xll.BDP($C54,"MATURITY")</f>
        <v>5/21/2030</v>
      </c>
      <c r="H54" t="str">
        <f>_xll.BDP($C54,"RTG_SP")</f>
        <v>BB-</v>
      </c>
    </row>
    <row r="55" spans="1:8" x14ac:dyDescent="0.25">
      <c r="A55" s="1" t="s">
        <v>133</v>
      </c>
      <c r="B55" s="1" t="s">
        <v>852</v>
      </c>
      <c r="C55" s="1" t="s">
        <v>853</v>
      </c>
      <c r="D55" s="1" t="s">
        <v>854</v>
      </c>
      <c r="E55">
        <f>_xll.BDP($C55,"DUR_ADJ_MID")</f>
        <v>0.76466438056028974</v>
      </c>
      <c r="F55">
        <f>_xll.BDP($C55,"OAS_SPREAD_DUR_MID")</f>
        <v>0.90862045858283269</v>
      </c>
      <c r="G55" t="str">
        <f>_xll.BDP($C55,"MATURITY")</f>
        <v>4/15/2028</v>
      </c>
      <c r="H55" t="str">
        <f>_xll.BDP($C55,"RTG_SP")</f>
        <v>B+</v>
      </c>
    </row>
    <row r="56" spans="1:8" x14ac:dyDescent="0.25">
      <c r="A56" s="1" t="s">
        <v>133</v>
      </c>
      <c r="B56" s="1" t="s">
        <v>855</v>
      </c>
      <c r="C56" s="1" t="s">
        <v>856</v>
      </c>
      <c r="D56" s="1" t="s">
        <v>857</v>
      </c>
      <c r="E56">
        <f>_xll.BDP($C56,"DUR_ADJ_MID")</f>
        <v>2.3043189939409019</v>
      </c>
      <c r="F56">
        <f>_xll.BDP($C56,"OAS_SPREAD_DUR_MID")</f>
        <v>1.579422468111219</v>
      </c>
      <c r="G56" t="str">
        <f>_xll.BDP($C56,"MATURITY")</f>
        <v>2/15/2031</v>
      </c>
      <c r="H56" t="str">
        <f>_xll.BDP($C56,"RTG_SP")</f>
        <v>B</v>
      </c>
    </row>
    <row r="57" spans="1:8" x14ac:dyDescent="0.25">
      <c r="A57" s="1" t="s">
        <v>133</v>
      </c>
      <c r="B57" s="1" t="s">
        <v>858</v>
      </c>
      <c r="C57" s="1" t="s">
        <v>859</v>
      </c>
      <c r="D57" s="1" t="s">
        <v>860</v>
      </c>
      <c r="E57">
        <f>_xll.BDP($C57,"DUR_ADJ_MID")</f>
        <v>1.5014794597301437</v>
      </c>
      <c r="F57">
        <f>_xll.BDP($C57,"OAS_SPREAD_DUR_MID")</f>
        <v>1.7285679004898069</v>
      </c>
      <c r="G57" t="str">
        <f>_xll.BDP($C57,"MATURITY")</f>
        <v>2/15/2029</v>
      </c>
      <c r="H57" t="str">
        <f>_xll.BDP($C57,"RTG_SP")</f>
        <v>B+</v>
      </c>
    </row>
    <row r="58" spans="1:8" x14ac:dyDescent="0.25">
      <c r="A58" s="1" t="s">
        <v>133</v>
      </c>
      <c r="B58" s="1" t="s">
        <v>861</v>
      </c>
      <c r="C58" s="1" t="s">
        <v>862</v>
      </c>
      <c r="D58" s="1" t="s">
        <v>863</v>
      </c>
      <c r="E58">
        <f>_xll.BDP($C58,"DUR_ADJ_MID")</f>
        <v>3.555377843991312</v>
      </c>
      <c r="F58">
        <f>_xll.BDP($C58,"OAS_SPREAD_DUR_MID")</f>
        <v>3.0203577095920928</v>
      </c>
      <c r="G58" t="str">
        <f>_xll.BDP($C58,"MATURITY")</f>
        <v>3/15/2031</v>
      </c>
      <c r="H58" t="str">
        <f>_xll.BDP($C58,"RTG_SP")</f>
        <v>#N/A N/A</v>
      </c>
    </row>
    <row r="59" spans="1:8" x14ac:dyDescent="0.25">
      <c r="A59" s="1" t="s">
        <v>133</v>
      </c>
      <c r="B59" s="1" t="s">
        <v>864</v>
      </c>
      <c r="C59" s="1" t="s">
        <v>865</v>
      </c>
      <c r="D59" s="1" t="s">
        <v>866</v>
      </c>
      <c r="E59">
        <f>_xll.BDP($C59,"DUR_ADJ_MID")</f>
        <v>2.2743316856624243</v>
      </c>
      <c r="F59">
        <f>_xll.BDP($C59,"OAS_SPREAD_DUR_MID")</f>
        <v>2.5610905573058527</v>
      </c>
      <c r="G59" t="str">
        <f>_xll.BDP($C59,"MATURITY")</f>
        <v>2/15/2031</v>
      </c>
      <c r="H59" t="str">
        <f>_xll.BDP($C59,"RTG_SP")</f>
        <v>B-</v>
      </c>
    </row>
    <row r="60" spans="1:8" x14ac:dyDescent="0.25">
      <c r="A60" s="1" t="s">
        <v>133</v>
      </c>
      <c r="B60" s="1" t="s">
        <v>867</v>
      </c>
      <c r="C60" s="1" t="s">
        <v>868</v>
      </c>
      <c r="D60" s="1" t="s">
        <v>869</v>
      </c>
      <c r="E60">
        <f>_xll.BDP($C60,"DUR_ADJ_MID")</f>
        <v>2.8330165711371897</v>
      </c>
      <c r="F60">
        <f>_xll.BDP($C60,"OAS_SPREAD_DUR_MID")</f>
        <v>2.8578113257731332</v>
      </c>
      <c r="G60" t="str">
        <f>_xll.BDP($C60,"MATURITY")</f>
        <v>12/1/2030</v>
      </c>
      <c r="H60" t="str">
        <f>_xll.BDP($C60,"RTG_SP")</f>
        <v>B</v>
      </c>
    </row>
    <row r="61" spans="1:8" x14ac:dyDescent="0.25">
      <c r="A61" s="1" t="s">
        <v>133</v>
      </c>
      <c r="B61" s="1" t="s">
        <v>870</v>
      </c>
      <c r="C61" s="1" t="s">
        <v>871</v>
      </c>
      <c r="D61" s="1" t="s">
        <v>872</v>
      </c>
      <c r="E61">
        <f>_xll.BDP($C61,"DUR_ADJ_MID")</f>
        <v>2.0235605598464272</v>
      </c>
      <c r="F61">
        <f>_xll.BDP($C61,"OAS_SPREAD_DUR_MID")</f>
        <v>1.0349163256650069</v>
      </c>
      <c r="G61" t="str">
        <f>_xll.BDP($C61,"MATURITY")</f>
        <v>10/1/2030</v>
      </c>
      <c r="H61" t="str">
        <f>_xll.BDP($C61,"RTG_SP")</f>
        <v>B+</v>
      </c>
    </row>
    <row r="62" spans="1:8" x14ac:dyDescent="0.25">
      <c r="A62" s="1" t="s">
        <v>133</v>
      </c>
      <c r="B62" s="1" t="s">
        <v>873</v>
      </c>
      <c r="C62" s="1" t="s">
        <v>874</v>
      </c>
      <c r="D62" s="1" t="s">
        <v>875</v>
      </c>
      <c r="E62">
        <f>_xll.BDP($C62,"DUR_ADJ_MID")</f>
        <v>3.3485953269537743</v>
      </c>
      <c r="F62">
        <f>_xll.BDP($C62,"OAS_SPREAD_DUR_MID")</f>
        <v>3.2131333605277765</v>
      </c>
      <c r="G62" t="str">
        <f>_xll.BDP($C62,"MATURITY")</f>
        <v>4/1/2030</v>
      </c>
      <c r="H62" t="str">
        <f>_xll.BDP($C62,"RTG_SP")</f>
        <v>BB-</v>
      </c>
    </row>
    <row r="63" spans="1:8" x14ac:dyDescent="0.25">
      <c r="A63" s="1" t="s">
        <v>133</v>
      </c>
      <c r="B63" s="1" t="s">
        <v>876</v>
      </c>
      <c r="C63" s="1" t="s">
        <v>877</v>
      </c>
      <c r="D63" s="1" t="s">
        <v>878</v>
      </c>
      <c r="E63">
        <f>_xll.BDP($C63,"DUR_ADJ_MID")</f>
        <v>1.8931947664948039</v>
      </c>
      <c r="F63">
        <f>_xll.BDP($C63,"OAS_SPREAD_DUR_MID")</f>
        <v>1.4791451124477855</v>
      </c>
      <c r="G63" t="str">
        <f>_xll.BDP($C63,"MATURITY")</f>
        <v>7/15/2028</v>
      </c>
      <c r="H63" t="str">
        <f>_xll.BDP($C63,"RTG_SP")</f>
        <v>BB</v>
      </c>
    </row>
    <row r="64" spans="1:8" x14ac:dyDescent="0.25">
      <c r="A64" s="1" t="s">
        <v>133</v>
      </c>
      <c r="B64" s="1" t="s">
        <v>879</v>
      </c>
      <c r="C64" s="1" t="s">
        <v>880</v>
      </c>
      <c r="D64" s="1" t="s">
        <v>881</v>
      </c>
      <c r="E64">
        <f>_xll.BDP($C64,"DUR_ADJ_MID")</f>
        <v>3.7734736479961057</v>
      </c>
      <c r="F64">
        <f>_xll.BDP($C64,"OAS_SPREAD_DUR_MID")</f>
        <v>3.7673478427021414</v>
      </c>
      <c r="G64" t="str">
        <f>_xll.BDP($C64,"MATURITY")</f>
        <v>8/15/2030</v>
      </c>
      <c r="H64" t="str">
        <f>_xll.BDP($C64,"RTG_SP")</f>
        <v>BB+</v>
      </c>
    </row>
    <row r="65" spans="1:8" x14ac:dyDescent="0.25">
      <c r="A65" s="1" t="s">
        <v>133</v>
      </c>
      <c r="B65" s="1" t="s">
        <v>882</v>
      </c>
      <c r="C65" s="1" t="s">
        <v>883</v>
      </c>
      <c r="D65" s="1" t="s">
        <v>884</v>
      </c>
      <c r="E65">
        <f>_xll.BDP($C65,"DUR_ADJ_MID")</f>
        <v>0.34070617085038157</v>
      </c>
      <c r="F65">
        <f>_xll.BDP($C65,"OAS_SPREAD_DUR_MID")</f>
        <v>0.52852778344740836</v>
      </c>
      <c r="G65" t="str">
        <f>_xll.BDP($C65,"MATURITY")</f>
        <v>5/1/2029</v>
      </c>
      <c r="H65" t="str">
        <f>_xll.BDP($C65,"RTG_SP")</f>
        <v>B+</v>
      </c>
    </row>
    <row r="66" spans="1:8" x14ac:dyDescent="0.25">
      <c r="A66" s="1" t="s">
        <v>133</v>
      </c>
      <c r="B66" s="1" t="s">
        <v>885</v>
      </c>
      <c r="C66" s="1" t="s">
        <v>886</v>
      </c>
      <c r="D66" s="1" t="s">
        <v>887</v>
      </c>
      <c r="E66">
        <f>_xll.BDP($C66,"DUR_ADJ_MID")</f>
        <v>3.1649855652683221</v>
      </c>
      <c r="F66">
        <f>_xll.BDP($C66,"OAS_SPREAD_DUR_MID")</f>
        <v>2.4522546756120311</v>
      </c>
      <c r="G66" t="str">
        <f>_xll.BDP($C66,"MATURITY")</f>
        <v>3/15/2030</v>
      </c>
      <c r="H66" t="str">
        <f>_xll.BDP($C66,"RTG_SP")</f>
        <v>B+</v>
      </c>
    </row>
    <row r="67" spans="1:8" x14ac:dyDescent="0.25">
      <c r="A67" s="1" t="s">
        <v>133</v>
      </c>
      <c r="B67" s="1" t="s">
        <v>888</v>
      </c>
      <c r="C67" s="1" t="s">
        <v>889</v>
      </c>
      <c r="D67" s="1" t="s">
        <v>890</v>
      </c>
      <c r="E67">
        <f>_xll.BDP($C67,"DUR_ADJ_MID")</f>
        <v>2.1097666544446918</v>
      </c>
      <c r="F67">
        <f>_xll.BDP($C67,"OAS_SPREAD_DUR_MID")</f>
        <v>2.2902756957022836</v>
      </c>
      <c r="G67" t="str">
        <f>_xll.BDP($C67,"MATURITY")</f>
        <v>10/15/2029</v>
      </c>
      <c r="H67" t="str">
        <f>_xll.BDP($C67,"RTG_SP")</f>
        <v>BB-</v>
      </c>
    </row>
    <row r="68" spans="1:8" x14ac:dyDescent="0.25">
      <c r="A68" s="1" t="s">
        <v>133</v>
      </c>
      <c r="B68" s="1" t="s">
        <v>891</v>
      </c>
      <c r="C68" s="1" t="s">
        <v>892</v>
      </c>
      <c r="D68" s="1" t="s">
        <v>893</v>
      </c>
      <c r="E68">
        <f>_xll.BDP($C68,"DUR_ADJ_MID")</f>
        <v>3.1557392800411157</v>
      </c>
      <c r="F68">
        <f>_xll.BDP($C68,"OAS_SPREAD_DUR_MID")</f>
        <v>3.0453905039256184</v>
      </c>
      <c r="G68" t="str">
        <f>_xll.BDP($C68,"MATURITY")</f>
        <v>2/15/2031</v>
      </c>
      <c r="H68" t="str">
        <f>_xll.BDP($C68,"RTG_SP")</f>
        <v>#N/A N/A</v>
      </c>
    </row>
    <row r="69" spans="1:8" x14ac:dyDescent="0.25">
      <c r="A69" s="1" t="s">
        <v>133</v>
      </c>
      <c r="B69" s="1" t="s">
        <v>894</v>
      </c>
      <c r="C69" s="1" t="s">
        <v>895</v>
      </c>
      <c r="D69" s="1" t="s">
        <v>896</v>
      </c>
      <c r="E69">
        <f>_xll.BDP($C69,"DUR_ADJ_MID")</f>
        <v>0.37948430095759494</v>
      </c>
      <c r="F69">
        <f>_xll.BDP($C69,"OAS_SPREAD_DUR_MID")</f>
        <v>0.40324517808370086</v>
      </c>
      <c r="G69" t="str">
        <f>_xll.BDP($C69,"MATURITY")</f>
        <v>11/15/2030</v>
      </c>
      <c r="H69" t="str">
        <f>_xll.BDP($C69,"RTG_SP")</f>
        <v>BB-</v>
      </c>
    </row>
    <row r="70" spans="1:8" x14ac:dyDescent="0.25">
      <c r="A70" s="1" t="s">
        <v>133</v>
      </c>
      <c r="B70" s="1" t="s">
        <v>897</v>
      </c>
      <c r="C70" s="1" t="s">
        <v>898</v>
      </c>
      <c r="D70" s="1" t="s">
        <v>899</v>
      </c>
      <c r="E70">
        <f>_xll.BDP($C70,"DUR_ADJ_MID")</f>
        <v>2.8619760687155571</v>
      </c>
      <c r="F70">
        <f>_xll.BDP($C70,"OAS_SPREAD_DUR_MID")</f>
        <v>2.4015874552526246</v>
      </c>
      <c r="G70" t="str">
        <f>_xll.BDP($C70,"MATURITY")</f>
        <v>11/15/2030</v>
      </c>
      <c r="H70" t="str">
        <f>_xll.BDP($C70,"RTG_SP")</f>
        <v>B+</v>
      </c>
    </row>
    <row r="71" spans="1:8" x14ac:dyDescent="0.25">
      <c r="A71" s="1" t="s">
        <v>133</v>
      </c>
      <c r="B71" s="1" t="s">
        <v>900</v>
      </c>
      <c r="C71" s="1" t="s">
        <v>901</v>
      </c>
      <c r="D71" s="1" t="s">
        <v>902</v>
      </c>
      <c r="E71">
        <f>_xll.BDP($C71,"DUR_ADJ_MID")</f>
        <v>1.5752094259223985</v>
      </c>
      <c r="F71">
        <f>_xll.BDP($C71,"OAS_SPREAD_DUR_MID")</f>
        <v>1.509075204450208</v>
      </c>
      <c r="G71" t="str">
        <f>_xll.BDP($C71,"MATURITY")</f>
        <v>3/1/2028</v>
      </c>
      <c r="H71" t="str">
        <f>_xll.BDP($C71,"RTG_SP")</f>
        <v>BB</v>
      </c>
    </row>
    <row r="72" spans="1:8" x14ac:dyDescent="0.25">
      <c r="A72" s="1" t="s">
        <v>133</v>
      </c>
      <c r="B72" s="1" t="s">
        <v>903</v>
      </c>
      <c r="C72" s="1" t="s">
        <v>904</v>
      </c>
      <c r="D72" s="1" t="s">
        <v>905</v>
      </c>
      <c r="E72">
        <f>_xll.BDP($C72,"DUR_ADJ_MID")</f>
        <v>1.4801257640863579</v>
      </c>
      <c r="F72">
        <f>_xll.BDP($C72,"OAS_SPREAD_DUR_MID")</f>
        <v>1.433594545298527</v>
      </c>
      <c r="G72" t="str">
        <f>_xll.BDP($C72,"MATURITY")</f>
        <v>2/1/2028</v>
      </c>
      <c r="H72" t="str">
        <f>_xll.BDP($C72,"RTG_SP")</f>
        <v>BB-</v>
      </c>
    </row>
    <row r="73" spans="1:8" x14ac:dyDescent="0.25">
      <c r="A73" s="1" t="s">
        <v>133</v>
      </c>
      <c r="B73" s="1" t="s">
        <v>906</v>
      </c>
      <c r="C73" s="1" t="s">
        <v>907</v>
      </c>
      <c r="D73" s="1" t="s">
        <v>908</v>
      </c>
      <c r="E73">
        <f>_xll.BDP($C73,"DUR_ADJ_MID")</f>
        <v>2.2691560728563798</v>
      </c>
      <c r="F73">
        <f>_xll.BDP($C73,"OAS_SPREAD_DUR_MID")</f>
        <v>1.5542986269198611</v>
      </c>
      <c r="G73" t="str">
        <f>_xll.BDP($C73,"MATURITY")</f>
        <v>1/15/2029</v>
      </c>
      <c r="H73" t="str">
        <f>_xll.BDP($C73,"RTG_SP")</f>
        <v>B-</v>
      </c>
    </row>
    <row r="74" spans="1:8" x14ac:dyDescent="0.25">
      <c r="A74" s="1" t="s">
        <v>133</v>
      </c>
      <c r="B74" s="1" t="s">
        <v>909</v>
      </c>
      <c r="C74" s="1" t="s">
        <v>910</v>
      </c>
      <c r="D74" s="1" t="s">
        <v>911</v>
      </c>
      <c r="E74">
        <f>_xll.BDP($C74,"DUR_ADJ_MID")</f>
        <v>3.7506393868283174</v>
      </c>
      <c r="F74">
        <f>_xll.BDP($C74,"OAS_SPREAD_DUR_MID")</f>
        <v>3.286807101199674</v>
      </c>
      <c r="G74" t="str">
        <f>_xll.BDP($C74,"MATURITY")</f>
        <v>2/15/2031</v>
      </c>
      <c r="H74" t="str">
        <f>_xll.BDP($C74,"RTG_SP")</f>
        <v>B+</v>
      </c>
    </row>
    <row r="75" spans="1:8" x14ac:dyDescent="0.25">
      <c r="A75" s="1" t="s">
        <v>133</v>
      </c>
      <c r="B75" s="1" t="s">
        <v>912</v>
      </c>
      <c r="C75" s="1" t="s">
        <v>913</v>
      </c>
      <c r="D75" s="1" t="s">
        <v>914</v>
      </c>
      <c r="E75">
        <f>_xll.BDP($C75,"DUR_ADJ_MID")</f>
        <v>2.9896050596152373</v>
      </c>
      <c r="F75" t="str">
        <f>_xll.BDP($C75,"OAS_SPREAD_DUR_MID")</f>
        <v>#N/A Field Not Applicable</v>
      </c>
      <c r="G75" t="str">
        <f>_xll.BDP($C75,"MATURITY")</f>
        <v>3/10/2055</v>
      </c>
      <c r="H75" t="str">
        <f>_xll.BDP($C75,"RTG_SP")</f>
        <v>BB+</v>
      </c>
    </row>
    <row r="76" spans="1:8" x14ac:dyDescent="0.25">
      <c r="A76" s="1" t="s">
        <v>133</v>
      </c>
      <c r="B76" s="1" t="s">
        <v>915</v>
      </c>
      <c r="C76" s="1" t="s">
        <v>916</v>
      </c>
      <c r="D76" s="1" t="s">
        <v>917</v>
      </c>
      <c r="E76">
        <f>_xll.BDP($C76,"DUR_ADJ_MID")</f>
        <v>2.921678603706237</v>
      </c>
      <c r="F76">
        <f>_xll.BDP($C76,"OAS_SPREAD_DUR_MID")</f>
        <v>2.5898870917533467</v>
      </c>
      <c r="G76" t="str">
        <f>_xll.BDP($C76,"MATURITY")</f>
        <v>2/15/2031</v>
      </c>
      <c r="H76" t="str">
        <f>_xll.BDP($C76,"RTG_SP")</f>
        <v>CCC+</v>
      </c>
    </row>
    <row r="77" spans="1:8" x14ac:dyDescent="0.25">
      <c r="A77" s="1" t="s">
        <v>133</v>
      </c>
      <c r="B77" s="1" t="s">
        <v>918</v>
      </c>
      <c r="C77" s="1" t="s">
        <v>919</v>
      </c>
      <c r="D77" s="1" t="s">
        <v>920</v>
      </c>
      <c r="E77">
        <f>_xll.BDP($C77,"DUR_ADJ_MID")</f>
        <v>3.3086688296822122</v>
      </c>
      <c r="F77">
        <f>_xll.BDP($C77,"OAS_SPREAD_DUR_MID")</f>
        <v>3.0235587096254304</v>
      </c>
      <c r="G77" t="str">
        <f>_xll.BDP($C77,"MATURITY")</f>
        <v>6/15/2030</v>
      </c>
      <c r="H77" t="str">
        <f>_xll.BDP($C77,"RTG_SP")</f>
        <v>B-</v>
      </c>
    </row>
    <row r="78" spans="1:8" x14ac:dyDescent="0.25">
      <c r="A78" s="1" t="s">
        <v>133</v>
      </c>
      <c r="B78" s="1" t="s">
        <v>921</v>
      </c>
      <c r="C78" s="1" t="s">
        <v>922</v>
      </c>
      <c r="D78" s="1" t="s">
        <v>923</v>
      </c>
      <c r="E78">
        <f>_xll.BDP($C78,"DUR_ADJ_MID")</f>
        <v>2.5989618911583525</v>
      </c>
      <c r="F78">
        <f>_xll.BDP($C78,"OAS_SPREAD_DUR_MID")</f>
        <v>2.4746176391375774</v>
      </c>
      <c r="G78" t="str">
        <f>_xll.BDP($C78,"MATURITY")</f>
        <v>5/1/2029</v>
      </c>
      <c r="H78" t="str">
        <f>_xll.BDP($C78,"RTG_SP")</f>
        <v>BBB-</v>
      </c>
    </row>
    <row r="79" spans="1:8" x14ac:dyDescent="0.25">
      <c r="A79" s="1" t="s">
        <v>133</v>
      </c>
      <c r="B79" s="1" t="s">
        <v>924</v>
      </c>
      <c r="C79" s="1" t="s">
        <v>925</v>
      </c>
      <c r="D79" s="1" t="s">
        <v>926</v>
      </c>
      <c r="E79">
        <f>_xll.BDP($C79,"DUR_ADJ_MID")</f>
        <v>2.0902258996213203</v>
      </c>
      <c r="F79">
        <f>_xll.BDP($C79,"OAS_SPREAD_DUR_MID")</f>
        <v>2.1019416121370891</v>
      </c>
      <c r="G79" t="str">
        <f>_xll.BDP($C79,"MATURITY")</f>
        <v>11/15/2028</v>
      </c>
      <c r="H79" t="str">
        <f>_xll.BDP($C79,"RTG_SP")</f>
        <v>BB</v>
      </c>
    </row>
    <row r="80" spans="1:8" x14ac:dyDescent="0.25">
      <c r="A80" s="1" t="s">
        <v>133</v>
      </c>
      <c r="B80" s="1" t="s">
        <v>927</v>
      </c>
      <c r="C80" s="1" t="s">
        <v>928</v>
      </c>
      <c r="D80" s="1" t="s">
        <v>929</v>
      </c>
      <c r="E80">
        <f>_xll.BDP($C80,"DUR_ADJ_MID")</f>
        <v>3.14947921100763</v>
      </c>
      <c r="F80">
        <f>_xll.BDP($C80,"OAS_SPREAD_DUR_MID")</f>
        <v>2.779698579434442</v>
      </c>
      <c r="G80" t="str">
        <f>_xll.BDP($C80,"MATURITY")</f>
        <v>12/15/2029</v>
      </c>
      <c r="H80" t="str">
        <f>_xll.BDP($C80,"RTG_SP")</f>
        <v>BB+</v>
      </c>
    </row>
    <row r="81" spans="1:8" x14ac:dyDescent="0.25">
      <c r="A81" s="1" t="s">
        <v>133</v>
      </c>
      <c r="B81" s="1" t="s">
        <v>930</v>
      </c>
      <c r="C81" s="1" t="s">
        <v>931</v>
      </c>
      <c r="D81" s="1" t="s">
        <v>932</v>
      </c>
      <c r="E81">
        <f>_xll.BDP($C81,"DUR_ADJ_MID")</f>
        <v>1.4103138435895524</v>
      </c>
      <c r="F81">
        <f>_xll.BDP($C81,"OAS_SPREAD_DUR_MID")</f>
        <v>1.4123898488881899</v>
      </c>
      <c r="G81" t="str">
        <f>_xll.BDP($C81,"MATURITY")</f>
        <v>1/15/2028</v>
      </c>
      <c r="H81" t="str">
        <f>_xll.BDP($C81,"RTG_SP")</f>
        <v>B</v>
      </c>
    </row>
    <row r="82" spans="1:8" x14ac:dyDescent="0.25">
      <c r="A82" s="1" t="s">
        <v>133</v>
      </c>
      <c r="B82" s="1" t="s">
        <v>933</v>
      </c>
      <c r="C82" s="1" t="s">
        <v>934</v>
      </c>
      <c r="D82" s="1" t="s">
        <v>935</v>
      </c>
      <c r="E82">
        <f>_xll.BDP($C82,"DUR_ADJ_MID")</f>
        <v>1.8772797388641977</v>
      </c>
      <c r="F82">
        <f>_xll.BDP($C82,"OAS_SPREAD_DUR_MID")</f>
        <v>0.93724305158402232</v>
      </c>
      <c r="G82" t="str">
        <f>_xll.BDP($C82,"MATURITY")</f>
        <v>7/15/2028</v>
      </c>
      <c r="H82" t="str">
        <f>_xll.BDP($C82,"RTG_SP")</f>
        <v>BB</v>
      </c>
    </row>
    <row r="83" spans="1:8" x14ac:dyDescent="0.25">
      <c r="A83" s="1" t="s">
        <v>133</v>
      </c>
      <c r="B83" s="1" t="s">
        <v>936</v>
      </c>
      <c r="C83" s="1" t="s">
        <v>937</v>
      </c>
      <c r="D83" s="1" t="s">
        <v>938</v>
      </c>
      <c r="E83">
        <f>_xll.BDP($C83,"DUR_ADJ_MID")</f>
        <v>0.28522299505146287</v>
      </c>
      <c r="F83">
        <f>_xll.BDP($C83,"OAS_SPREAD_DUR_MID")</f>
        <v>0.39553468058463442</v>
      </c>
      <c r="G83" t="str">
        <f>_xll.BDP($C83,"MATURITY")</f>
        <v>1/15/2029</v>
      </c>
      <c r="H83" t="str">
        <f>_xll.BDP($C83,"RTG_SP")</f>
        <v>B+</v>
      </c>
    </row>
    <row r="84" spans="1:8" x14ac:dyDescent="0.25">
      <c r="A84" s="1" t="s">
        <v>133</v>
      </c>
      <c r="B84" s="1" t="s">
        <v>939</v>
      </c>
      <c r="C84" s="1" t="s">
        <v>940</v>
      </c>
      <c r="D84" s="1" t="s">
        <v>941</v>
      </c>
      <c r="E84">
        <f>_xll.BDP($C84,"DUR_ADJ_MID")</f>
        <v>2.6406501867237404</v>
      </c>
      <c r="F84">
        <f>_xll.BDP($C84,"OAS_SPREAD_DUR_MID")</f>
        <v>2.6409842310111911</v>
      </c>
      <c r="G84" t="str">
        <f>_xll.BDP($C84,"MATURITY")</f>
        <v>7/1/2029</v>
      </c>
      <c r="H84" t="str">
        <f>_xll.BDP($C84,"RTG_SP")</f>
        <v>B</v>
      </c>
    </row>
    <row r="85" spans="1:8" x14ac:dyDescent="0.25">
      <c r="A85" s="1" t="s">
        <v>133</v>
      </c>
      <c r="B85" s="1" t="s">
        <v>942</v>
      </c>
      <c r="C85" s="1" t="s">
        <v>943</v>
      </c>
      <c r="D85" s="1" t="s">
        <v>944</v>
      </c>
      <c r="E85">
        <f>_xll.BDP($C85,"DUR_ADJ_MID")</f>
        <v>2.0267562951304505</v>
      </c>
      <c r="F85">
        <f>_xll.BDP($C85,"OAS_SPREAD_DUR_MID")</f>
        <v>1.0557234512533329</v>
      </c>
      <c r="G85" t="str">
        <f>_xll.BDP($C85,"MATURITY")</f>
        <v>4/1/2030</v>
      </c>
      <c r="H85" t="str">
        <f>_xll.BDP($C85,"RTG_SP")</f>
        <v>B *+</v>
      </c>
    </row>
    <row r="86" spans="1:8" x14ac:dyDescent="0.25">
      <c r="A86" s="1" t="s">
        <v>133</v>
      </c>
      <c r="B86" s="1" t="s">
        <v>945</v>
      </c>
      <c r="C86" s="1" t="s">
        <v>946</v>
      </c>
      <c r="D86" s="1" t="s">
        <v>947</v>
      </c>
      <c r="E86">
        <f>_xll.BDP($C86,"DUR_ADJ_MID")</f>
        <v>3.262717200186235</v>
      </c>
      <c r="F86">
        <f>_xll.BDP($C86,"OAS_SPREAD_DUR_MID")</f>
        <v>2.2915811126210368</v>
      </c>
      <c r="G86" t="str">
        <f>_xll.BDP($C86,"MATURITY")</f>
        <v>4/15/2030</v>
      </c>
      <c r="H86" t="str">
        <f>_xll.BDP($C86,"RTG_SP")</f>
        <v>B+</v>
      </c>
    </row>
    <row r="87" spans="1:8" x14ac:dyDescent="0.25">
      <c r="A87" s="1" t="s">
        <v>133</v>
      </c>
      <c r="B87" s="1" t="s">
        <v>948</v>
      </c>
      <c r="C87" s="1" t="s">
        <v>949</v>
      </c>
      <c r="D87" s="1" t="s">
        <v>950</v>
      </c>
      <c r="E87">
        <f>_xll.BDP($C87,"DUR_ADJ_MID")</f>
        <v>2.696562174859479</v>
      </c>
      <c r="F87">
        <f>_xll.BDP($C87,"OAS_SPREAD_DUR_MID")</f>
        <v>2.4597191500131967</v>
      </c>
      <c r="G87" t="str">
        <f>_xll.BDP($C87,"MATURITY")</f>
        <v>9/30/2029</v>
      </c>
      <c r="H87" t="str">
        <f>_xll.BDP($C87,"RTG_SP")</f>
        <v>B-</v>
      </c>
    </row>
    <row r="88" spans="1:8" x14ac:dyDescent="0.25">
      <c r="A88" s="1" t="s">
        <v>133</v>
      </c>
      <c r="B88" s="1" t="s">
        <v>951</v>
      </c>
      <c r="C88" s="1" t="s">
        <v>952</v>
      </c>
      <c r="D88" s="1" t="s">
        <v>953</v>
      </c>
      <c r="E88">
        <f>_xll.BDP($C88,"DUR_ADJ_MID")</f>
        <v>3.1132915218807917</v>
      </c>
      <c r="F88">
        <f>_xll.BDP($C88,"OAS_SPREAD_DUR_MID")</f>
        <v>2.2846436263020493</v>
      </c>
      <c r="G88" t="str">
        <f>_xll.BDP($C88,"MATURITY")</f>
        <v>4/15/2030</v>
      </c>
      <c r="H88" t="str">
        <f>_xll.BDP($C88,"RTG_SP")</f>
        <v>B-</v>
      </c>
    </row>
    <row r="89" spans="1:8" x14ac:dyDescent="0.25">
      <c r="A89" s="1" t="s">
        <v>133</v>
      </c>
      <c r="B89" s="1" t="s">
        <v>954</v>
      </c>
      <c r="C89" s="1" t="s">
        <v>955</v>
      </c>
      <c r="D89" s="1" t="s">
        <v>956</v>
      </c>
      <c r="E89">
        <f>_xll.BDP($C89,"DUR_ADJ_MID")</f>
        <v>0.21712517849216745</v>
      </c>
      <c r="F89">
        <f>_xll.BDP($C89,"OAS_SPREAD_DUR_MID")</f>
        <v>0.23111338118824601</v>
      </c>
      <c r="G89" t="str">
        <f>_xll.BDP($C89,"MATURITY")</f>
        <v>9/15/2029</v>
      </c>
      <c r="H89" t="str">
        <f>_xll.BDP($C89,"RTG_SP")</f>
        <v>B</v>
      </c>
    </row>
    <row r="90" spans="1:8" x14ac:dyDescent="0.25">
      <c r="A90" s="1" t="s">
        <v>133</v>
      </c>
      <c r="B90" s="1" t="s">
        <v>957</v>
      </c>
      <c r="C90" s="1" t="s">
        <v>958</v>
      </c>
      <c r="D90" s="1" t="s">
        <v>959</v>
      </c>
      <c r="E90">
        <f>_xll.BDP($C90,"DUR_ADJ_MID")</f>
        <v>3.5000897599446663</v>
      </c>
      <c r="F90">
        <f>_xll.BDP($C90,"OAS_SPREAD_DUR_MID")</f>
        <v>3.4343534707920491</v>
      </c>
      <c r="G90" t="str">
        <f>_xll.BDP($C90,"MATURITY")</f>
        <v>4/3/2031</v>
      </c>
      <c r="H90" t="str">
        <f>_xll.BDP($C90,"RTG_SP")</f>
        <v>CCC+</v>
      </c>
    </row>
    <row r="91" spans="1:8" x14ac:dyDescent="0.25">
      <c r="A91" s="1" t="s">
        <v>133</v>
      </c>
      <c r="B91" s="1" t="s">
        <v>960</v>
      </c>
      <c r="C91" s="1" t="s">
        <v>961</v>
      </c>
      <c r="D91" s="1" t="s">
        <v>962</v>
      </c>
      <c r="E91">
        <f>_xll.BDP($C91,"DUR_ADJ_MID")</f>
        <v>1.2165961993136931</v>
      </c>
      <c r="F91">
        <f>_xll.BDP($C91,"OAS_SPREAD_DUR_MID")</f>
        <v>1.5892657505227576</v>
      </c>
      <c r="G91" t="str">
        <f>_xll.BDP($C91,"MATURITY")</f>
        <v>10/15/2028</v>
      </c>
      <c r="H91" t="str">
        <f>_xll.BDP($C91,"RTG_SP")</f>
        <v>B+</v>
      </c>
    </row>
    <row r="92" spans="1:8" x14ac:dyDescent="0.25">
      <c r="A92" s="1" t="s">
        <v>133</v>
      </c>
      <c r="B92" s="1" t="s">
        <v>963</v>
      </c>
      <c r="C92" s="1" t="s">
        <v>964</v>
      </c>
      <c r="D92" s="1" t="s">
        <v>965</v>
      </c>
      <c r="E92">
        <f>_xll.BDP($C92,"DUR_ADJ_MID")</f>
        <v>2.5094797247203808</v>
      </c>
      <c r="F92">
        <f>_xll.BDP($C92,"OAS_SPREAD_DUR_MID")</f>
        <v>2.7103252697517091</v>
      </c>
      <c r="G92" t="str">
        <f>_xll.BDP($C92,"MATURITY")</f>
        <v>6/1/2030</v>
      </c>
      <c r="H92" t="str">
        <f>_xll.BDP($C92,"RTG_SP")</f>
        <v>B</v>
      </c>
    </row>
    <row r="93" spans="1:8" x14ac:dyDescent="0.25">
      <c r="A93" s="1" t="s">
        <v>133</v>
      </c>
      <c r="B93" s="1" t="s">
        <v>966</v>
      </c>
      <c r="C93" s="1" t="s">
        <v>967</v>
      </c>
      <c r="D93" s="1" t="s">
        <v>968</v>
      </c>
      <c r="E93">
        <f>_xll.BDP($C93,"DUR_ADJ_MID")</f>
        <v>3.2062117475171195</v>
      </c>
      <c r="F93">
        <f>_xll.BDP($C93,"OAS_SPREAD_DUR_MID")</f>
        <v>2.8156741951051645</v>
      </c>
      <c r="G93" t="str">
        <f>_xll.BDP($C93,"MATURITY")</f>
        <v>5/15/2031</v>
      </c>
      <c r="H93" t="str">
        <f>_xll.BDP($C93,"RTG_SP")</f>
        <v>BB</v>
      </c>
    </row>
    <row r="94" spans="1:8" x14ac:dyDescent="0.25">
      <c r="A94" s="1" t="s">
        <v>133</v>
      </c>
      <c r="B94" s="1" t="s">
        <v>969</v>
      </c>
      <c r="C94" s="1" t="s">
        <v>970</v>
      </c>
      <c r="D94" s="1" t="s">
        <v>971</v>
      </c>
      <c r="E94">
        <f>_xll.BDP($C94,"DUR_ADJ_MID")</f>
        <v>2.4980064148534229</v>
      </c>
      <c r="F94">
        <f>_xll.BDP($C94,"OAS_SPREAD_DUR_MID")</f>
        <v>2.3162422731504515</v>
      </c>
      <c r="G94" t="str">
        <f>_xll.BDP($C94,"MATURITY")</f>
        <v>3/15/2029</v>
      </c>
      <c r="H94" t="str">
        <f>_xll.BDP($C94,"RTG_SP")</f>
        <v>BB</v>
      </c>
    </row>
    <row r="95" spans="1:8" x14ac:dyDescent="0.25">
      <c r="A95" s="1" t="s">
        <v>133</v>
      </c>
      <c r="B95" s="1" t="s">
        <v>972</v>
      </c>
      <c r="C95" s="1" t="s">
        <v>973</v>
      </c>
      <c r="D95" s="1" t="s">
        <v>974</v>
      </c>
      <c r="E95">
        <f>_xll.BDP($C95,"DUR_ADJ_MID")</f>
        <v>3.2989464907091688</v>
      </c>
      <c r="F95">
        <f>_xll.BDP($C95,"OAS_SPREAD_DUR_MID")</f>
        <v>3.3378759001217162</v>
      </c>
      <c r="G95" t="str">
        <f>_xll.BDP($C95,"MATURITY")</f>
        <v>4/15/2031</v>
      </c>
      <c r="H95" t="str">
        <f>_xll.BDP($C95,"RTG_SP")</f>
        <v>BB-</v>
      </c>
    </row>
    <row r="96" spans="1:8" x14ac:dyDescent="0.25">
      <c r="A96" s="1" t="s">
        <v>133</v>
      </c>
      <c r="B96" s="1" t="s">
        <v>975</v>
      </c>
      <c r="C96" s="1" t="s">
        <v>976</v>
      </c>
      <c r="D96" s="1" t="s">
        <v>977</v>
      </c>
      <c r="E96">
        <f>_xll.BDP($C96,"DUR_ADJ_MID")</f>
        <v>3.5240399643942251</v>
      </c>
      <c r="F96">
        <f>_xll.BDP($C96,"OAS_SPREAD_DUR_MID")</f>
        <v>3.1131721888904984</v>
      </c>
      <c r="G96" t="str">
        <f>_xll.BDP($C96,"MATURITY")</f>
        <v>6/1/2030</v>
      </c>
      <c r="H96" t="str">
        <f>_xll.BDP($C96,"RTG_SP")</f>
        <v>BB-</v>
      </c>
    </row>
    <row r="97" spans="1:8" x14ac:dyDescent="0.25">
      <c r="A97" s="1" t="s">
        <v>133</v>
      </c>
      <c r="B97" s="1" t="s">
        <v>978</v>
      </c>
      <c r="C97" s="1" t="s">
        <v>979</v>
      </c>
      <c r="D97" s="1" t="s">
        <v>980</v>
      </c>
      <c r="E97">
        <f>_xll.BDP($C97,"DUR_ADJ_MID")</f>
        <v>3.6095086269250674</v>
      </c>
      <c r="F97">
        <f>_xll.BDP($C97,"OAS_SPREAD_DUR_MID")</f>
        <v>3.6864530517680185</v>
      </c>
      <c r="G97" t="str">
        <f>_xll.BDP($C97,"MATURITY")</f>
        <v>1/22/2031</v>
      </c>
      <c r="H97" t="str">
        <f>_xll.BDP($C97,"RTG_SP")</f>
        <v>BB-</v>
      </c>
    </row>
    <row r="98" spans="1:8" x14ac:dyDescent="0.25">
      <c r="A98" s="1" t="s">
        <v>133</v>
      </c>
      <c r="B98" s="1" t="s">
        <v>981</v>
      </c>
      <c r="C98" s="1" t="s">
        <v>982</v>
      </c>
      <c r="D98" s="1" t="s">
        <v>983</v>
      </c>
      <c r="E98">
        <f>_xll.BDP($C98,"DUR_ADJ_MID")</f>
        <v>2.2150503540321744</v>
      </c>
      <c r="F98">
        <f>_xll.BDP($C98,"OAS_SPREAD_DUR_MID")</f>
        <v>2.24749913179412</v>
      </c>
      <c r="G98" t="str">
        <f>_xll.BDP($C98,"MATURITY")</f>
        <v>2/15/2031</v>
      </c>
      <c r="H98" t="str">
        <f>_xll.BDP($C98,"RTG_SP")</f>
        <v>B+</v>
      </c>
    </row>
    <row r="99" spans="1:8" x14ac:dyDescent="0.25">
      <c r="A99" s="1" t="s">
        <v>133</v>
      </c>
      <c r="B99" s="1" t="s">
        <v>984</v>
      </c>
      <c r="C99" s="1" t="s">
        <v>985</v>
      </c>
      <c r="D99" s="1" t="s">
        <v>986</v>
      </c>
      <c r="E99">
        <f>_xll.BDP($C99,"DUR_ADJ_MID")</f>
        <v>0.37992310241734811</v>
      </c>
      <c r="F99">
        <f>_xll.BDP($C99,"OAS_SPREAD_DUR_MID")</f>
        <v>0.38049866910746744</v>
      </c>
      <c r="G99" t="str">
        <f>_xll.BDP($C99,"MATURITY")</f>
        <v>11/15/2027</v>
      </c>
      <c r="H99" t="str">
        <f>_xll.BDP($C99,"RTG_SP")</f>
        <v>B *+</v>
      </c>
    </row>
    <row r="100" spans="1:8" x14ac:dyDescent="0.25">
      <c r="A100" s="1" t="s">
        <v>133</v>
      </c>
      <c r="B100" s="1" t="s">
        <v>987</v>
      </c>
      <c r="C100" s="1" t="s">
        <v>988</v>
      </c>
      <c r="D100" s="1" t="s">
        <v>989</v>
      </c>
      <c r="E100">
        <f>_xll.BDP($C100,"DUR_ADJ_MID")</f>
        <v>1.8170324024325406</v>
      </c>
      <c r="F100">
        <f>_xll.BDP($C100,"OAS_SPREAD_DUR_MID")</f>
        <v>1.6771081932014427</v>
      </c>
      <c r="G100" t="str">
        <f>_xll.BDP($C100,"MATURITY")</f>
        <v>8/1/2029</v>
      </c>
      <c r="H100" t="str">
        <f>_xll.BDP($C100,"RTG_SP")</f>
        <v>B+</v>
      </c>
    </row>
    <row r="101" spans="1:8" x14ac:dyDescent="0.25">
      <c r="A101" s="1" t="s">
        <v>133</v>
      </c>
      <c r="B101" s="1" t="s">
        <v>990</v>
      </c>
      <c r="C101" s="1" t="s">
        <v>991</v>
      </c>
      <c r="D101" s="1" t="s">
        <v>992</v>
      </c>
      <c r="E101">
        <f>_xll.BDP($C101,"DUR_ADJ_MID")</f>
        <v>1.7607591636727684</v>
      </c>
      <c r="F101">
        <f>_xll.BDP($C101,"OAS_SPREAD_DUR_MID")</f>
        <v>1.7970501581600962</v>
      </c>
      <c r="G101" t="str">
        <f>_xll.BDP($C101,"MATURITY")</f>
        <v>8/28/2028</v>
      </c>
      <c r="H101" t="str">
        <f>_xll.BDP($C101,"RTG_SP")</f>
        <v>BB-</v>
      </c>
    </row>
    <row r="102" spans="1:8" x14ac:dyDescent="0.25">
      <c r="A102" s="1" t="s">
        <v>133</v>
      </c>
      <c r="B102" s="1" t="s">
        <v>993</v>
      </c>
      <c r="C102" s="1" t="s">
        <v>994</v>
      </c>
      <c r="D102" s="1" t="s">
        <v>995</v>
      </c>
      <c r="E102">
        <f>_xll.BDP($C102,"DUR_ADJ_MID")</f>
        <v>1.9657063532837873</v>
      </c>
      <c r="F102">
        <f>_xll.BDP($C102,"OAS_SPREAD_DUR_MID")</f>
        <v>1.9678012403975103</v>
      </c>
      <c r="G102" t="str">
        <f>_xll.BDP($C102,"MATURITY")</f>
        <v>8/15/2028</v>
      </c>
      <c r="H102" t="str">
        <f>_xll.BDP($C102,"RTG_SP")</f>
        <v>CCC+</v>
      </c>
    </row>
    <row r="103" spans="1:8" x14ac:dyDescent="0.25">
      <c r="A103" s="1" t="s">
        <v>133</v>
      </c>
      <c r="B103" s="1" t="s">
        <v>996</v>
      </c>
      <c r="C103" s="1" t="s">
        <v>997</v>
      </c>
      <c r="D103" s="1" t="s">
        <v>998</v>
      </c>
      <c r="E103">
        <f>_xll.BDP($C103,"DUR_ADJ_MID")</f>
        <v>1.8253743604600419</v>
      </c>
      <c r="F103">
        <f>_xll.BDP($C103,"OAS_SPREAD_DUR_MID")</f>
        <v>1.9838534960609422</v>
      </c>
      <c r="G103" t="str">
        <f>_xll.BDP($C103,"MATURITY")</f>
        <v>12/15/2030</v>
      </c>
      <c r="H103" t="str">
        <f>_xll.BDP($C103,"RTG_SP")</f>
        <v>BB-</v>
      </c>
    </row>
    <row r="104" spans="1:8" x14ac:dyDescent="0.25">
      <c r="A104" s="1" t="s">
        <v>133</v>
      </c>
      <c r="B104" s="1" t="s">
        <v>999</v>
      </c>
      <c r="C104" s="1" t="s">
        <v>1000</v>
      </c>
      <c r="D104" s="1" t="s">
        <v>1001</v>
      </c>
      <c r="E104">
        <f>_xll.BDP($C104,"DUR_ADJ_MID")</f>
        <v>1.6490724121320404</v>
      </c>
      <c r="F104">
        <f>_xll.BDP($C104,"OAS_SPREAD_DUR_MID")</f>
        <v>1.6089717848304572</v>
      </c>
      <c r="G104" t="str">
        <f>_xll.BDP($C104,"MATURITY")</f>
        <v>5/1/2029</v>
      </c>
      <c r="H104" t="str">
        <f>_xll.BDP($C104,"RTG_SP")</f>
        <v>B-</v>
      </c>
    </row>
    <row r="105" spans="1:8" x14ac:dyDescent="0.25">
      <c r="A105" s="1" t="s">
        <v>133</v>
      </c>
      <c r="B105" s="1" t="s">
        <v>1002</v>
      </c>
      <c r="C105" s="1" t="s">
        <v>1003</v>
      </c>
      <c r="D105" s="1" t="s">
        <v>1004</v>
      </c>
      <c r="E105">
        <f>_xll.BDP($C105,"DUR_ADJ_MID")</f>
        <v>1.6612187638188336E-2</v>
      </c>
      <c r="F105">
        <f>_xll.BDP($C105,"OAS_SPREAD_DUR_MID")</f>
        <v>1.4868984706079455E-2</v>
      </c>
      <c r="G105" t="str">
        <f>_xll.BDP($C105,"MATURITY")</f>
        <v>11/1/2026</v>
      </c>
      <c r="H105" t="str">
        <f>_xll.BDP($C105,"RTG_SP")</f>
        <v>B</v>
      </c>
    </row>
    <row r="106" spans="1:8" x14ac:dyDescent="0.25">
      <c r="A106" s="1" t="s">
        <v>133</v>
      </c>
      <c r="B106" s="1" t="s">
        <v>1005</v>
      </c>
      <c r="C106" s="1" t="s">
        <v>1006</v>
      </c>
      <c r="D106" s="1" t="s">
        <v>1007</v>
      </c>
      <c r="E106">
        <f>_xll.BDP($C106,"DUR_ADJ_MID")</f>
        <v>2.895497725571428</v>
      </c>
      <c r="F106">
        <f>_xll.BDP($C106,"OAS_SPREAD_DUR_MID")</f>
        <v>3.016858329494188</v>
      </c>
      <c r="G106" t="str">
        <f>_xll.BDP($C106,"MATURITY")</f>
        <v>4/15/2031</v>
      </c>
      <c r="H106" t="str">
        <f>_xll.BDP($C106,"RTG_SP")</f>
        <v>#N/A N/A</v>
      </c>
    </row>
    <row r="107" spans="1:8" x14ac:dyDescent="0.25">
      <c r="A107" s="1" t="s">
        <v>133</v>
      </c>
      <c r="B107" s="1" t="s">
        <v>1008</v>
      </c>
      <c r="C107" s="1" t="s">
        <v>1009</v>
      </c>
      <c r="D107" s="1" t="s">
        <v>1010</v>
      </c>
      <c r="E107">
        <f>_xll.BDP($C107,"DUR_ADJ_MID")</f>
        <v>1.6705018504775948</v>
      </c>
      <c r="F107">
        <f>_xll.BDP($C107,"OAS_SPREAD_DUR_MID")</f>
        <v>1.6659725926101161</v>
      </c>
      <c r="G107" t="str">
        <f>_xll.BDP($C107,"MATURITY")</f>
        <v>4/15/2029</v>
      </c>
      <c r="H107" t="str">
        <f>_xll.BDP($C107,"RTG_SP")</f>
        <v>BB+</v>
      </c>
    </row>
    <row r="108" spans="1:8" x14ac:dyDescent="0.25">
      <c r="A108" s="1" t="s">
        <v>133</v>
      </c>
      <c r="B108" s="1" t="s">
        <v>1011</v>
      </c>
      <c r="C108" s="1" t="s">
        <v>1012</v>
      </c>
      <c r="D108" s="1" t="s">
        <v>1013</v>
      </c>
      <c r="E108">
        <f>_xll.BDP($C108,"DUR_ADJ_MID")</f>
        <v>3.8215760739704074</v>
      </c>
      <c r="F108" t="str">
        <f>_xll.BDP($C108,"OAS_SPREAD_DUR_MID")</f>
        <v>#N/A Field Not Applicable</v>
      </c>
      <c r="G108" t="str">
        <f>_xll.BDP($C108,"MATURITY")</f>
        <v>4/1/2056</v>
      </c>
      <c r="H108" t="str">
        <f>_xll.BDP($C108,"RTG_SP")</f>
        <v>BB+</v>
      </c>
    </row>
    <row r="109" spans="1:8" x14ac:dyDescent="0.25">
      <c r="A109" s="1" t="s">
        <v>133</v>
      </c>
      <c r="B109" s="1" t="s">
        <v>1014</v>
      </c>
      <c r="C109" s="1" t="s">
        <v>1015</v>
      </c>
      <c r="D109" s="1" t="s">
        <v>1016</v>
      </c>
      <c r="E109">
        <f>_xll.BDP($C109,"DUR_ADJ_MID")</f>
        <v>2.7140830277359105</v>
      </c>
      <c r="F109">
        <f>_xll.BDP($C109,"OAS_SPREAD_DUR_MID")</f>
        <v>2.6813211641087675</v>
      </c>
      <c r="G109" t="str">
        <f>_xll.BDP($C109,"MATURITY")</f>
        <v>8/15/2029</v>
      </c>
      <c r="H109" t="str">
        <f>_xll.BDP($C109,"RTG_SP")</f>
        <v>#N/A N/A</v>
      </c>
    </row>
    <row r="110" spans="1:8" x14ac:dyDescent="0.25">
      <c r="A110" s="1" t="s">
        <v>133</v>
      </c>
      <c r="B110" s="1" t="s">
        <v>1017</v>
      </c>
      <c r="C110" s="1" t="s">
        <v>1018</v>
      </c>
      <c r="D110" s="1" t="s">
        <v>1019</v>
      </c>
      <c r="E110">
        <f>_xll.BDP($C110,"DUR_ADJ_MID")</f>
        <v>2.8455635362029206</v>
      </c>
      <c r="F110">
        <f>_xll.BDP($C110,"OAS_SPREAD_DUR_MID")</f>
        <v>2.4310466639583534</v>
      </c>
      <c r="G110" t="str">
        <f>_xll.BDP($C110,"MATURITY")</f>
        <v>1/15/2031</v>
      </c>
      <c r="H110" t="str">
        <f>_xll.BDP($C110,"RTG_SP")</f>
        <v>B</v>
      </c>
    </row>
    <row r="111" spans="1:8" x14ac:dyDescent="0.25">
      <c r="A111" s="1" t="s">
        <v>133</v>
      </c>
      <c r="B111" s="1" t="s">
        <v>1020</v>
      </c>
      <c r="C111" s="1" t="s">
        <v>1021</v>
      </c>
      <c r="D111" s="1" t="s">
        <v>1022</v>
      </c>
      <c r="E111">
        <f>_xll.BDP($C111,"DUR_ADJ_MID")</f>
        <v>2.5390460571543114</v>
      </c>
      <c r="F111">
        <f>_xll.BDP($C111,"OAS_SPREAD_DUR_MID")</f>
        <v>2.0602193470979961</v>
      </c>
      <c r="G111" t="str">
        <f>_xll.BDP($C111,"MATURITY")</f>
        <v>5/1/2031</v>
      </c>
      <c r="H111" t="str">
        <f>_xll.BDP($C111,"RTG_SP")</f>
        <v>BB</v>
      </c>
    </row>
    <row r="112" spans="1:8" x14ac:dyDescent="0.25">
      <c r="A112" s="1" t="s">
        <v>133</v>
      </c>
      <c r="B112" s="1" t="s">
        <v>1023</v>
      </c>
      <c r="C112" s="1" t="s">
        <v>1024</v>
      </c>
      <c r="D112" s="1" t="s">
        <v>1025</v>
      </c>
      <c r="E112">
        <f>_xll.BDP($C112,"DUR_ADJ_MID")</f>
        <v>2.4868291201908592</v>
      </c>
      <c r="F112">
        <f>_xll.BDP($C112,"OAS_SPREAD_DUR_MID")</f>
        <v>2.4905655944662217</v>
      </c>
      <c r="G112" t="str">
        <f>_xll.BDP($C112,"MATURITY")</f>
        <v>5/15/2031</v>
      </c>
      <c r="H112" t="str">
        <f>_xll.BDP($C112,"RTG_SP")</f>
        <v>B</v>
      </c>
    </row>
    <row r="113" spans="1:8" x14ac:dyDescent="0.25">
      <c r="A113" s="1" t="s">
        <v>133</v>
      </c>
      <c r="B113" s="1" t="s">
        <v>1026</v>
      </c>
      <c r="C113" s="1" t="s">
        <v>1027</v>
      </c>
      <c r="D113" s="1" t="s">
        <v>1028</v>
      </c>
      <c r="E113">
        <f>_xll.BDP($C113,"DUR_ADJ_MID")</f>
        <v>0.61168252912415322</v>
      </c>
      <c r="F113">
        <f>_xll.BDP($C113,"OAS_SPREAD_DUR_MID")</f>
        <v>0.60032331853701393</v>
      </c>
      <c r="G113" t="str">
        <f>_xll.BDP($C113,"MATURITY")</f>
        <v>2/15/2027</v>
      </c>
      <c r="H113" t="str">
        <f>_xll.BDP($C113,"RTG_SP")</f>
        <v>BB-</v>
      </c>
    </row>
    <row r="114" spans="1:8" x14ac:dyDescent="0.25">
      <c r="A114" s="1" t="s">
        <v>133</v>
      </c>
      <c r="B114" s="1" t="s">
        <v>1029</v>
      </c>
      <c r="C114" s="1" t="s">
        <v>1030</v>
      </c>
      <c r="D114" s="1" t="s">
        <v>1031</v>
      </c>
      <c r="E114">
        <f>_xll.BDP($C114,"DUR_ADJ_MID")</f>
        <v>2.2615213656544269</v>
      </c>
      <c r="F114">
        <f>_xll.BDP($C114,"OAS_SPREAD_DUR_MID")</f>
        <v>1.8821110997993953</v>
      </c>
      <c r="G114" t="str">
        <f>_xll.BDP($C114,"MATURITY")</f>
        <v>1/15/2031</v>
      </c>
      <c r="H114" t="str">
        <f>_xll.BDP($C114,"RTG_SP")</f>
        <v>BB</v>
      </c>
    </row>
    <row r="115" spans="1:8" x14ac:dyDescent="0.25">
      <c r="A115" s="1" t="s">
        <v>133</v>
      </c>
      <c r="B115" s="1" t="s">
        <v>1032</v>
      </c>
      <c r="C115" s="1" t="s">
        <v>1033</v>
      </c>
      <c r="D115" s="1" t="s">
        <v>1034</v>
      </c>
      <c r="E115">
        <f>_xll.BDP($C115,"DUR_ADJ_MID")</f>
        <v>0.51947654190895209</v>
      </c>
      <c r="F115">
        <f>_xll.BDP($C115,"OAS_SPREAD_DUR_MID")</f>
        <v>0.68684388108125172</v>
      </c>
      <c r="G115" t="str">
        <f>_xll.BDP($C115,"MATURITY")</f>
        <v>1/15/2029</v>
      </c>
      <c r="H115" t="str">
        <f>_xll.BDP($C115,"RTG_SP")</f>
        <v>B+</v>
      </c>
    </row>
    <row r="116" spans="1:8" x14ac:dyDescent="0.25">
      <c r="A116" s="1" t="s">
        <v>133</v>
      </c>
      <c r="B116" s="1" t="s">
        <v>1035</v>
      </c>
      <c r="C116" s="1" t="s">
        <v>1036</v>
      </c>
      <c r="D116" s="1" t="s">
        <v>1037</v>
      </c>
      <c r="E116">
        <f>_xll.BDP($C116,"DUR_ADJ_MID")</f>
        <v>1.3567040577959006</v>
      </c>
      <c r="F116">
        <f>_xll.BDP($C116,"OAS_SPREAD_DUR_MID")</f>
        <v>0.44530041724045244</v>
      </c>
      <c r="G116" t="str">
        <f>_xll.BDP($C116,"MATURITY")</f>
        <v>12/1/2027</v>
      </c>
      <c r="H116" t="str">
        <f>_xll.BDP($C116,"RTG_SP")</f>
        <v>BB-</v>
      </c>
    </row>
    <row r="117" spans="1:8" x14ac:dyDescent="0.25">
      <c r="A117" s="1" t="s">
        <v>133</v>
      </c>
      <c r="B117" s="1" t="s">
        <v>1038</v>
      </c>
      <c r="C117" s="1" t="s">
        <v>1039</v>
      </c>
      <c r="D117" s="1" t="s">
        <v>1040</v>
      </c>
      <c r="E117">
        <f>_xll.BDP($C117,"DUR_ADJ_MID")</f>
        <v>2.70996856020406</v>
      </c>
      <c r="F117">
        <f>_xll.BDP($C117,"OAS_SPREAD_DUR_MID")</f>
        <v>2.6812792024191809</v>
      </c>
      <c r="G117" t="str">
        <f>_xll.BDP($C117,"MATURITY")</f>
        <v>7/15/2029</v>
      </c>
      <c r="H117" t="str">
        <f>_xll.BDP($C117,"RTG_SP")</f>
        <v>B+</v>
      </c>
    </row>
    <row r="118" spans="1:8" x14ac:dyDescent="0.25">
      <c r="A118" s="1" t="s">
        <v>133</v>
      </c>
      <c r="B118" s="1" t="s">
        <v>1041</v>
      </c>
      <c r="C118" s="1" t="s">
        <v>1042</v>
      </c>
      <c r="D118" s="1" t="s">
        <v>1043</v>
      </c>
      <c r="E118">
        <f>_xll.BDP($C118,"DUR_ADJ_MID")</f>
        <v>1.6243679805472695</v>
      </c>
      <c r="F118">
        <f>_xll.BDP($C118,"OAS_SPREAD_DUR_MID")</f>
        <v>1.6149023286552944</v>
      </c>
      <c r="G118" t="str">
        <f>_xll.BDP($C118,"MATURITY")</f>
        <v>3/15/2028</v>
      </c>
      <c r="H118" t="str">
        <f>_xll.BDP($C118,"RTG_SP")</f>
        <v>BB-</v>
      </c>
    </row>
    <row r="119" spans="1:8" x14ac:dyDescent="0.25">
      <c r="A119" s="1" t="s">
        <v>133</v>
      </c>
      <c r="B119" s="1" t="s">
        <v>1044</v>
      </c>
      <c r="C119" s="1" t="s">
        <v>1045</v>
      </c>
      <c r="D119" s="1" t="s">
        <v>1046</v>
      </c>
      <c r="E119">
        <f>_xll.BDP($C119,"DUR_ADJ_MID")</f>
        <v>1.9491658855416001</v>
      </c>
      <c r="F119">
        <f>_xll.BDP($C119,"OAS_SPREAD_DUR_MID")</f>
        <v>0.98891992478780177</v>
      </c>
      <c r="G119" t="str">
        <f>_xll.BDP($C119,"MATURITY")</f>
        <v>9/1/2030</v>
      </c>
      <c r="H119" t="str">
        <f>_xll.BDP($C119,"RTG_SP")</f>
        <v>BB</v>
      </c>
    </row>
    <row r="120" spans="1:8" x14ac:dyDescent="0.25">
      <c r="A120" s="1" t="s">
        <v>133</v>
      </c>
      <c r="B120" s="1" t="s">
        <v>1047</v>
      </c>
      <c r="C120" s="1" t="s">
        <v>1048</v>
      </c>
      <c r="D120" s="1" t="s">
        <v>1049</v>
      </c>
      <c r="E120">
        <f>_xll.BDP($C120,"DUR_ADJ_MID")</f>
        <v>1.9855570651972407</v>
      </c>
      <c r="F120">
        <f>_xll.BDP($C120,"OAS_SPREAD_DUR_MID")</f>
        <v>1.93331812707877</v>
      </c>
      <c r="G120" t="str">
        <f>_xll.BDP($C120,"MATURITY")</f>
        <v>8/15/2028</v>
      </c>
      <c r="H120" t="str">
        <f>_xll.BDP($C120,"RTG_SP")</f>
        <v>BB+</v>
      </c>
    </row>
    <row r="121" spans="1:8" x14ac:dyDescent="0.25">
      <c r="A121" s="1" t="s">
        <v>133</v>
      </c>
      <c r="B121" s="1" t="s">
        <v>1050</v>
      </c>
      <c r="C121" s="1" t="s">
        <v>1051</v>
      </c>
      <c r="D121" s="1" t="s">
        <v>1052</v>
      </c>
      <c r="E121">
        <f>_xll.BDP($C121,"DUR_ADJ_MID")</f>
        <v>1.9678173614195222</v>
      </c>
      <c r="F121">
        <f>_xll.BDP($C121,"OAS_SPREAD_DUR_MID")</f>
        <v>1.9445465856405486</v>
      </c>
      <c r="G121" t="str">
        <f>_xll.BDP($C121,"MATURITY")</f>
        <v>9/1/2029</v>
      </c>
      <c r="H121" t="str">
        <f>_xll.BDP($C121,"RTG_SP")</f>
        <v>BB-</v>
      </c>
    </row>
    <row r="122" spans="1:8" x14ac:dyDescent="0.25">
      <c r="A122" s="1" t="s">
        <v>133</v>
      </c>
      <c r="B122" s="1" t="s">
        <v>1053</v>
      </c>
      <c r="C122" s="1" t="s">
        <v>1054</v>
      </c>
      <c r="D122" s="1" t="s">
        <v>1055</v>
      </c>
      <c r="E122">
        <f>_xll.BDP($C122,"DUR_ADJ_MID")</f>
        <v>2.7132333887998912</v>
      </c>
      <c r="F122">
        <f>_xll.BDP($C122,"OAS_SPREAD_DUR_MID")</f>
        <v>2.7628970218729298</v>
      </c>
      <c r="G122" t="str">
        <f>_xll.BDP($C122,"MATURITY")</f>
        <v>9/15/2030</v>
      </c>
      <c r="H122" t="str">
        <f>_xll.BDP($C122,"RTG_SP")</f>
        <v>#N/A N/A</v>
      </c>
    </row>
    <row r="123" spans="1:8" x14ac:dyDescent="0.25">
      <c r="A123" s="1" t="s">
        <v>133</v>
      </c>
      <c r="B123" s="1" t="s">
        <v>1056</v>
      </c>
      <c r="C123" s="1" t="s">
        <v>1057</v>
      </c>
      <c r="D123" s="1" t="s">
        <v>1058</v>
      </c>
      <c r="E123">
        <f>_xll.BDP($C123,"DUR_ADJ_MID")</f>
        <v>1.8267206437927475</v>
      </c>
      <c r="F123">
        <f>_xll.BDP($C123,"OAS_SPREAD_DUR_MID")</f>
        <v>1.7373083799097229</v>
      </c>
      <c r="G123" t="str">
        <f>_xll.BDP($C123,"MATURITY")</f>
        <v>6/15/2029</v>
      </c>
      <c r="H123" t="str">
        <f>_xll.BDP($C123,"RTG_SP")</f>
        <v>BB-</v>
      </c>
    </row>
    <row r="124" spans="1:8" x14ac:dyDescent="0.25">
      <c r="A124" s="1" t="s">
        <v>133</v>
      </c>
      <c r="B124" s="1" t="s">
        <v>1059</v>
      </c>
      <c r="C124" s="1" t="s">
        <v>1060</v>
      </c>
      <c r="D124" s="1" t="s">
        <v>1061</v>
      </c>
      <c r="E124">
        <f>_xll.BDP($C124,"DUR_ADJ_MID")</f>
        <v>1.8291924552218293</v>
      </c>
      <c r="F124">
        <f>_xll.BDP($C124,"OAS_SPREAD_DUR_MID")</f>
        <v>1.1773024362102926</v>
      </c>
      <c r="G124" t="str">
        <f>_xll.BDP($C124,"MATURITY")</f>
        <v>1/31/2030</v>
      </c>
      <c r="H124" t="str">
        <f>_xll.BDP($C124,"RTG_SP")</f>
        <v>CCC</v>
      </c>
    </row>
    <row r="125" spans="1:8" x14ac:dyDescent="0.25">
      <c r="A125" s="1" t="s">
        <v>133</v>
      </c>
      <c r="B125" s="1" t="s">
        <v>1062</v>
      </c>
      <c r="C125" s="1" t="s">
        <v>1063</v>
      </c>
      <c r="D125" s="1" t="s">
        <v>1064</v>
      </c>
      <c r="E125">
        <f>_xll.BDP($C125,"DUR_ADJ_MID")</f>
        <v>2.3256772429878918</v>
      </c>
      <c r="F125">
        <f>_xll.BDP($C125,"OAS_SPREAD_DUR_MID")</f>
        <v>1.4146923360168275</v>
      </c>
      <c r="G125" t="str">
        <f>_xll.BDP($C125,"MATURITY")</f>
        <v>2/1/2029</v>
      </c>
      <c r="H125" t="str">
        <f>_xll.BDP($C125,"RTG_SP")</f>
        <v>BB+</v>
      </c>
    </row>
    <row r="126" spans="1:8" x14ac:dyDescent="0.25">
      <c r="A126" s="1" t="s">
        <v>133</v>
      </c>
      <c r="B126" s="1" t="s">
        <v>1065</v>
      </c>
      <c r="C126" s="1" t="s">
        <v>1066</v>
      </c>
      <c r="D126" s="1" t="s">
        <v>1067</v>
      </c>
      <c r="E126">
        <f>_xll.BDP($C126,"DUR_ADJ_MID")</f>
        <v>3.759060077857352</v>
      </c>
      <c r="F126">
        <f>_xll.BDP($C126,"OAS_SPREAD_DUR_MID")</f>
        <v>3.1402346943427619</v>
      </c>
      <c r="G126" t="str">
        <f>_xll.BDP($C126,"MATURITY")</f>
        <v>2/15/2031</v>
      </c>
      <c r="H126" t="str">
        <f>_xll.BDP($C126,"RTG_SP")</f>
        <v>B</v>
      </c>
    </row>
    <row r="127" spans="1:8" x14ac:dyDescent="0.25">
      <c r="A127" s="1" t="s">
        <v>133</v>
      </c>
      <c r="B127" s="1" t="s">
        <v>1068</v>
      </c>
      <c r="C127" s="1" t="s">
        <v>1069</v>
      </c>
      <c r="D127" s="1" t="s">
        <v>1070</v>
      </c>
      <c r="E127">
        <f>_xll.BDP($C127,"DUR_ADJ_MID")</f>
        <v>1.8146934372114385</v>
      </c>
      <c r="F127">
        <f>_xll.BDP($C127,"OAS_SPREAD_DUR_MID")</f>
        <v>1.8124123763056315</v>
      </c>
      <c r="G127" t="str">
        <f>_xll.BDP($C127,"MATURITY")</f>
        <v>6/15/2030</v>
      </c>
      <c r="H127" t="str">
        <f>_xll.BDP($C127,"RTG_SP")</f>
        <v>B+</v>
      </c>
    </row>
    <row r="128" spans="1:8" x14ac:dyDescent="0.25">
      <c r="A128" s="1" t="s">
        <v>133</v>
      </c>
      <c r="B128" s="1" t="s">
        <v>1071</v>
      </c>
      <c r="C128" s="1" t="s">
        <v>1072</v>
      </c>
      <c r="D128" s="1" t="s">
        <v>1073</v>
      </c>
      <c r="E128">
        <f>_xll.BDP($C128,"DUR_ADJ_MID")</f>
        <v>2.6158375587498148</v>
      </c>
      <c r="F128">
        <f>_xll.BDP($C128,"OAS_SPREAD_DUR_MID")</f>
        <v>2.5346643645807219</v>
      </c>
      <c r="G128" t="str">
        <f>_xll.BDP($C128,"MATURITY")</f>
        <v>5/1/2029</v>
      </c>
      <c r="H128" t="str">
        <f>_xll.BDP($C128,"RTG_SP")</f>
        <v>BB *</v>
      </c>
    </row>
    <row r="129" spans="1:8" x14ac:dyDescent="0.25">
      <c r="A129" s="1" t="s">
        <v>133</v>
      </c>
      <c r="B129" s="1" t="s">
        <v>1074</v>
      </c>
      <c r="C129" s="1" t="s">
        <v>1075</v>
      </c>
      <c r="D129" s="1" t="s">
        <v>1076</v>
      </c>
      <c r="E129">
        <f>_xll.BDP($C129,"DUR_ADJ_MID")</f>
        <v>0.29818507958868812</v>
      </c>
      <c r="F129">
        <f>_xll.BDP($C129,"OAS_SPREAD_DUR_MID")</f>
        <v>0.31464201657191154</v>
      </c>
      <c r="G129" t="str">
        <f>_xll.BDP($C129,"MATURITY")</f>
        <v>10/15/2028</v>
      </c>
      <c r="H129" t="str">
        <f>_xll.BDP($C129,"RTG_SP")</f>
        <v>B+</v>
      </c>
    </row>
    <row r="130" spans="1:8" x14ac:dyDescent="0.25">
      <c r="A130" s="1" t="s">
        <v>133</v>
      </c>
      <c r="B130" s="1" t="s">
        <v>1077</v>
      </c>
      <c r="C130" s="1" t="s">
        <v>1078</v>
      </c>
      <c r="D130" s="1" t="s">
        <v>1079</v>
      </c>
      <c r="E130">
        <f>_xll.BDP($C130,"DUR_ADJ_MID")</f>
        <v>2.6900427327460594</v>
      </c>
      <c r="F130">
        <f>_xll.BDP($C130,"OAS_SPREAD_DUR_MID")</f>
        <v>1.669663686183904</v>
      </c>
      <c r="G130" t="str">
        <f>_xll.BDP($C130,"MATURITY")</f>
        <v>8/1/2029</v>
      </c>
      <c r="H130" t="str">
        <f>_xll.BDP($C130,"RTG_SP")</f>
        <v>B-</v>
      </c>
    </row>
    <row r="131" spans="1:8" x14ac:dyDescent="0.25">
      <c r="A131" s="1" t="s">
        <v>133</v>
      </c>
      <c r="B131" s="1" t="s">
        <v>1080</v>
      </c>
      <c r="C131" s="1" t="s">
        <v>1081</v>
      </c>
      <c r="D131" s="1" t="s">
        <v>1082</v>
      </c>
      <c r="E131">
        <f>_xll.BDP($C131,"DUR_ADJ_MID")</f>
        <v>2.351191119521062</v>
      </c>
      <c r="F131">
        <f>_xll.BDP($C131,"OAS_SPREAD_DUR_MID")</f>
        <v>2.2117719605269506</v>
      </c>
      <c r="G131" t="str">
        <f>_xll.BDP($C131,"MATURITY")</f>
        <v>5/1/2029</v>
      </c>
      <c r="H131" t="str">
        <f>_xll.BDP($C131,"RTG_SP")</f>
        <v>CCC+</v>
      </c>
    </row>
    <row r="132" spans="1:8" x14ac:dyDescent="0.25">
      <c r="A132" s="1" t="s">
        <v>133</v>
      </c>
      <c r="B132" s="1" t="s">
        <v>1083</v>
      </c>
      <c r="C132" s="1" t="s">
        <v>1084</v>
      </c>
      <c r="D132" s="1" t="s">
        <v>1085</v>
      </c>
      <c r="E132">
        <f>_xll.BDP($C132,"DUR_ADJ_MID")</f>
        <v>2.6435288552878924</v>
      </c>
      <c r="F132">
        <f>_xll.BDP($C132,"OAS_SPREAD_DUR_MID")</f>
        <v>2.16918042702217</v>
      </c>
      <c r="G132" t="str">
        <f>_xll.BDP($C132,"MATURITY")</f>
        <v>5/15/2029</v>
      </c>
      <c r="H132" t="str">
        <f>_xll.BDP($C132,"RTG_SP")</f>
        <v>BB</v>
      </c>
    </row>
    <row r="133" spans="1:8" x14ac:dyDescent="0.25">
      <c r="A133" s="1" t="s">
        <v>133</v>
      </c>
      <c r="B133" s="1" t="s">
        <v>1086</v>
      </c>
      <c r="C133" s="1" t="s">
        <v>1087</v>
      </c>
      <c r="D133" s="1" t="s">
        <v>1088</v>
      </c>
      <c r="E133">
        <f>_xll.BDP($C133,"DUR_ADJ_MID")</f>
        <v>2.895226871965328</v>
      </c>
      <c r="F133">
        <f>_xll.BDP($C133,"OAS_SPREAD_DUR_MID")</f>
        <v>2.423950030256008</v>
      </c>
      <c r="G133" t="str">
        <f>_xll.BDP($C133,"MATURITY")</f>
        <v>9/15/2029</v>
      </c>
      <c r="H133" t="str">
        <f>_xll.BDP($C133,"RTG_SP")</f>
        <v>BB-</v>
      </c>
    </row>
    <row r="134" spans="1:8" x14ac:dyDescent="0.25">
      <c r="A134" s="1" t="s">
        <v>133</v>
      </c>
      <c r="B134" s="1" t="s">
        <v>1089</v>
      </c>
      <c r="C134" s="1" t="s">
        <v>1090</v>
      </c>
      <c r="D134" s="1" t="s">
        <v>1091</v>
      </c>
      <c r="E134">
        <f>_xll.BDP($C134,"DUR_ADJ_MID")</f>
        <v>2.3122910743737939</v>
      </c>
      <c r="F134">
        <f>_xll.BDP($C134,"OAS_SPREAD_DUR_MID")</f>
        <v>1.9813956444695955</v>
      </c>
      <c r="G134" t="str">
        <f>_xll.BDP($C134,"MATURITY")</f>
        <v>2/15/2029</v>
      </c>
      <c r="H134" t="str">
        <f>_xll.BDP($C134,"RTG_SP")</f>
        <v>B-</v>
      </c>
    </row>
    <row r="135" spans="1:8" x14ac:dyDescent="0.25">
      <c r="A135" s="1" t="s">
        <v>133</v>
      </c>
      <c r="B135" s="1" t="s">
        <v>1092</v>
      </c>
      <c r="C135" s="1" t="s">
        <v>1093</v>
      </c>
      <c r="D135" s="1" t="s">
        <v>1094</v>
      </c>
      <c r="E135">
        <f>_xll.BDP($C135,"DUR_ADJ_MID")</f>
        <v>2.529180052051764</v>
      </c>
      <c r="F135">
        <f>_xll.BDP($C135,"OAS_SPREAD_DUR_MID")</f>
        <v>2.2045948070705266</v>
      </c>
      <c r="G135" t="str">
        <f>_xll.BDP($C135,"MATURITY")</f>
        <v>4/30/2031</v>
      </c>
      <c r="H135" t="str">
        <f>_xll.BDP($C135,"RTG_SP")</f>
        <v>BB</v>
      </c>
    </row>
    <row r="136" spans="1:8" x14ac:dyDescent="0.25">
      <c r="A136" s="1" t="s">
        <v>133</v>
      </c>
      <c r="B136" s="1" t="s">
        <v>1095</v>
      </c>
      <c r="C136" s="1" t="s">
        <v>1096</v>
      </c>
      <c r="D136" s="1" t="s">
        <v>1097</v>
      </c>
      <c r="E136">
        <f>_xll.BDP($C136,"DUR_ADJ_MID")</f>
        <v>2.5340531622142635</v>
      </c>
      <c r="F136">
        <f>_xll.BDP($C136,"OAS_SPREAD_DUR_MID")</f>
        <v>1.6975475497708865</v>
      </c>
      <c r="G136" t="str">
        <f>_xll.BDP($C136,"MATURITY")</f>
        <v>5/15/2030</v>
      </c>
      <c r="H136" t="str">
        <f>_xll.BDP($C136,"RTG_SP")</f>
        <v>#N/A N/A</v>
      </c>
    </row>
    <row r="137" spans="1:8" x14ac:dyDescent="0.25">
      <c r="A137" s="1" t="s">
        <v>133</v>
      </c>
      <c r="B137" s="1" t="s">
        <v>1098</v>
      </c>
      <c r="C137" s="1" t="s">
        <v>1099</v>
      </c>
      <c r="D137" s="1" t="s">
        <v>1100</v>
      </c>
      <c r="E137">
        <f>_xll.BDP($C137,"DUR_ADJ_MID")</f>
        <v>1.5476179497096485</v>
      </c>
      <c r="F137">
        <f>_xll.BDP($C137,"OAS_SPREAD_DUR_MID")</f>
        <v>1.6340247988391301</v>
      </c>
      <c r="G137" t="str">
        <f>_xll.BDP($C137,"MATURITY")</f>
        <v>3/15/2030</v>
      </c>
      <c r="H137" t="str">
        <f>_xll.BDP($C137,"RTG_SP")</f>
        <v>B-</v>
      </c>
    </row>
    <row r="138" spans="1:8" x14ac:dyDescent="0.25">
      <c r="A138" s="1" t="s">
        <v>133</v>
      </c>
      <c r="B138" s="1" t="s">
        <v>1101</v>
      </c>
      <c r="C138" s="1" t="s">
        <v>1102</v>
      </c>
      <c r="D138" s="1" t="s">
        <v>1103</v>
      </c>
      <c r="E138">
        <f>_xll.BDP($C138,"DUR_ADJ_MID")</f>
        <v>0.89671680643378027</v>
      </c>
      <c r="F138">
        <f>_xll.BDP($C138,"OAS_SPREAD_DUR_MID")</f>
        <v>0.62921097833408124</v>
      </c>
      <c r="G138" t="str">
        <f>_xll.BDP($C138,"MATURITY")</f>
        <v>6/1/2027</v>
      </c>
      <c r="H138" t="str">
        <f>_xll.BDP($C138,"RTG_SP")</f>
        <v>BB+</v>
      </c>
    </row>
    <row r="139" spans="1:8" x14ac:dyDescent="0.25">
      <c r="A139" s="1" t="s">
        <v>133</v>
      </c>
      <c r="B139" s="1" t="s">
        <v>1104</v>
      </c>
      <c r="C139" s="1" t="s">
        <v>1105</v>
      </c>
      <c r="D139" s="1" t="s">
        <v>1106</v>
      </c>
      <c r="E139">
        <f>_xll.BDP($C139,"DUR_ADJ_MID")</f>
        <v>1.3850570323051659</v>
      </c>
      <c r="F139">
        <f>_xll.BDP($C139,"OAS_SPREAD_DUR_MID")</f>
        <v>1.2992860640990391</v>
      </c>
      <c r="G139" t="str">
        <f>_xll.BDP($C139,"MATURITY")</f>
        <v>12/15/2028</v>
      </c>
      <c r="H139" t="str">
        <f>_xll.BDP($C139,"RTG_SP")</f>
        <v>BB+</v>
      </c>
    </row>
    <row r="140" spans="1:8" x14ac:dyDescent="0.25">
      <c r="A140" s="1" t="s">
        <v>133</v>
      </c>
      <c r="B140" s="1" t="s">
        <v>1107</v>
      </c>
      <c r="C140" s="1" t="s">
        <v>1108</v>
      </c>
      <c r="D140" s="1" t="s">
        <v>1109</v>
      </c>
      <c r="E140">
        <f>_xll.BDP($C140,"DUR_ADJ_MID")</f>
        <v>1.400767387840858</v>
      </c>
      <c r="F140">
        <f>_xll.BDP($C140,"OAS_SPREAD_DUR_MID")</f>
        <v>1.0850538685854529</v>
      </c>
      <c r="G140" t="str">
        <f>_xll.BDP($C140,"MATURITY")</f>
        <v>12/15/2027</v>
      </c>
      <c r="H140" t="str">
        <f>_xll.BDP($C140,"RTG_SP")</f>
        <v>BB+</v>
      </c>
    </row>
    <row r="141" spans="1:8" x14ac:dyDescent="0.25">
      <c r="A141" s="1" t="s">
        <v>133</v>
      </c>
      <c r="B141" s="1" t="s">
        <v>1110</v>
      </c>
      <c r="C141" s="1" t="s">
        <v>1111</v>
      </c>
      <c r="D141" s="1" t="s">
        <v>1112</v>
      </c>
      <c r="E141">
        <f>_xll.BDP($C141,"DUR_ADJ_MID")</f>
        <v>1.4825167462692399</v>
      </c>
      <c r="F141">
        <f>_xll.BDP($C141,"OAS_SPREAD_DUR_MID")</f>
        <v>1.4867430020988857</v>
      </c>
      <c r="G141" t="str">
        <f>_xll.BDP($C141,"MATURITY")</f>
        <v>2/1/2028</v>
      </c>
      <c r="H141" t="str">
        <f>_xll.BDP($C141,"RTG_SP")</f>
        <v>BB+</v>
      </c>
    </row>
    <row r="142" spans="1:8" x14ac:dyDescent="0.25">
      <c r="A142" s="1" t="s">
        <v>133</v>
      </c>
      <c r="B142" s="1" t="s">
        <v>1113</v>
      </c>
      <c r="C142" s="1" t="s">
        <v>1114</v>
      </c>
      <c r="D142" s="1" t="s">
        <v>1115</v>
      </c>
      <c r="E142">
        <f>_xll.BDP($C142,"DUR_ADJ_MID")</f>
        <v>0.29731453983840134</v>
      </c>
      <c r="F142">
        <f>_xll.BDP($C142,"OAS_SPREAD_DUR_MID")</f>
        <v>0.7652474386217778</v>
      </c>
      <c r="G142" t="str">
        <f>_xll.BDP($C142,"MATURITY")</f>
        <v>10/15/2028</v>
      </c>
      <c r="H142" t="str">
        <f>_xll.BDP($C142,"RTG_SP")</f>
        <v>B+</v>
      </c>
    </row>
    <row r="143" spans="1:8" x14ac:dyDescent="0.25">
      <c r="A143" s="1" t="s">
        <v>133</v>
      </c>
      <c r="B143" s="1" t="s">
        <v>1116</v>
      </c>
      <c r="C143" s="1" t="s">
        <v>1117</v>
      </c>
      <c r="D143" s="1" t="s">
        <v>1118</v>
      </c>
      <c r="E143">
        <f>_xll.BDP($C143,"DUR_ADJ_MID")</f>
        <v>4.0842596071470885</v>
      </c>
      <c r="F143">
        <f>_xll.BDP($C143,"OAS_SPREAD_DUR_MID")</f>
        <v>3.9669068177139111</v>
      </c>
      <c r="G143" t="str">
        <f>_xll.BDP($C143,"MATURITY")</f>
        <v>1/15/2031</v>
      </c>
      <c r="H143" t="str">
        <f>_xll.BDP($C143,"RTG_SP")</f>
        <v>BB</v>
      </c>
    </row>
    <row r="144" spans="1:8" x14ac:dyDescent="0.25">
      <c r="A144" s="1" t="s">
        <v>133</v>
      </c>
      <c r="B144" s="1" t="s">
        <v>1119</v>
      </c>
      <c r="C144" s="1" t="s">
        <v>1120</v>
      </c>
      <c r="D144" s="1" t="s">
        <v>1121</v>
      </c>
      <c r="E144">
        <f>_xll.BDP($C144,"DUR_ADJ_MID")</f>
        <v>3.7013799485338978</v>
      </c>
      <c r="F144">
        <f>_xll.BDP($C144,"OAS_SPREAD_DUR_MID")</f>
        <v>3.1784162527402033</v>
      </c>
      <c r="G144" t="str">
        <f>_xll.BDP($C144,"MATURITY")</f>
        <v>10/1/2030</v>
      </c>
      <c r="H144" t="str">
        <f>_xll.BDP($C144,"RTG_SP")</f>
        <v>BB+</v>
      </c>
    </row>
    <row r="145" spans="1:8" x14ac:dyDescent="0.25">
      <c r="A145" s="1" t="s">
        <v>133</v>
      </c>
      <c r="B145" s="1" t="s">
        <v>1122</v>
      </c>
      <c r="C145" s="1" t="s">
        <v>1123</v>
      </c>
      <c r="D145" s="1" t="s">
        <v>1124</v>
      </c>
      <c r="E145">
        <f>_xll.BDP($C145,"DUR_ADJ_MID")</f>
        <v>3.881215399584996E-2</v>
      </c>
      <c r="F145">
        <f>_xll.BDP($C145,"OAS_SPREAD_DUR_MID")</f>
        <v>4.4028556496109594E-2</v>
      </c>
      <c r="G145" t="str">
        <f>_xll.BDP($C145,"MATURITY")</f>
        <v>5/15/2027</v>
      </c>
      <c r="H145" t="str">
        <f>_xll.BDP($C145,"RTG_SP")</f>
        <v>BB+</v>
      </c>
    </row>
    <row r="146" spans="1:8" x14ac:dyDescent="0.25">
      <c r="A146" s="1" t="s">
        <v>133</v>
      </c>
      <c r="B146" s="1" t="s">
        <v>1125</v>
      </c>
      <c r="C146" s="1" t="s">
        <v>1126</v>
      </c>
      <c r="D146" s="1" t="s">
        <v>1127</v>
      </c>
      <c r="E146">
        <f>_xll.BDP($C146,"DUR_ADJ_MID")</f>
        <v>0.53271318794870381</v>
      </c>
      <c r="F146">
        <f>_xll.BDP($C146,"OAS_SPREAD_DUR_MID")</f>
        <v>0.58798653847487437</v>
      </c>
      <c r="G146" t="str">
        <f>_xll.BDP($C146,"MATURITY")</f>
        <v>4/15/2027</v>
      </c>
      <c r="H146" t="str">
        <f>_xll.BDP($C146,"RTG_SP")</f>
        <v>BB-</v>
      </c>
    </row>
    <row r="147" spans="1:8" x14ac:dyDescent="0.25">
      <c r="A147" s="1" t="s">
        <v>133</v>
      </c>
      <c r="B147" s="1" t="s">
        <v>1128</v>
      </c>
      <c r="C147" s="1" t="s">
        <v>1129</v>
      </c>
      <c r="D147" s="1" t="s">
        <v>1130</v>
      </c>
      <c r="E147">
        <f>_xll.BDP($C147,"DUR_ADJ_MID")</f>
        <v>1.2197358301964358</v>
      </c>
      <c r="F147">
        <f>_xll.BDP($C147,"OAS_SPREAD_DUR_MID")</f>
        <v>1.2201473288540805</v>
      </c>
      <c r="G147" t="str">
        <f>_xll.BDP($C147,"MATURITY")</f>
        <v>10/15/2027</v>
      </c>
      <c r="H147" t="str">
        <f>_xll.BDP($C147,"RTG_SP")</f>
        <v>CCC+</v>
      </c>
    </row>
    <row r="148" spans="1:8" x14ac:dyDescent="0.25">
      <c r="A148" s="1" t="s">
        <v>133</v>
      </c>
      <c r="B148" s="1" t="s">
        <v>1131</v>
      </c>
      <c r="C148" s="1" t="s">
        <v>1132</v>
      </c>
      <c r="D148" s="1" t="s">
        <v>1133</v>
      </c>
      <c r="E148">
        <f>_xll.BDP($C148,"DUR_ADJ_MID")</f>
        <v>2.5135442188047499</v>
      </c>
      <c r="F148">
        <f>_xll.BDP($C148,"OAS_SPREAD_DUR_MID")</f>
        <v>2.5150487115403055</v>
      </c>
      <c r="G148" t="str">
        <f>_xll.BDP($C148,"MATURITY")</f>
        <v>6/1/2029</v>
      </c>
      <c r="H148" t="str">
        <f>_xll.BDP($C148,"RTG_SP")</f>
        <v>CCC-</v>
      </c>
    </row>
    <row r="149" spans="1:8" x14ac:dyDescent="0.25">
      <c r="A149" s="1" t="s">
        <v>133</v>
      </c>
      <c r="B149" s="1" t="s">
        <v>1134</v>
      </c>
      <c r="C149" s="1" t="s">
        <v>1135</v>
      </c>
      <c r="D149" s="1" t="s">
        <v>1136</v>
      </c>
      <c r="E149">
        <f>_xll.BDP($C149,"DUR_ADJ_MID")</f>
        <v>2.3701930330990888</v>
      </c>
      <c r="F149">
        <f>_xll.BDP($C149,"OAS_SPREAD_DUR_MID")</f>
        <v>1.3353927841977768</v>
      </c>
      <c r="G149" t="str">
        <f>_xll.BDP($C149,"MATURITY")</f>
        <v>2/15/2029</v>
      </c>
      <c r="H149" t="str">
        <f>_xll.BDP($C149,"RTG_SP")</f>
        <v>BB</v>
      </c>
    </row>
    <row r="150" spans="1:8" x14ac:dyDescent="0.25">
      <c r="A150" s="1" t="s">
        <v>133</v>
      </c>
      <c r="B150" s="1" t="s">
        <v>1137</v>
      </c>
      <c r="C150" s="1" t="s">
        <v>1138</v>
      </c>
      <c r="D150" s="1" t="s">
        <v>1139</v>
      </c>
      <c r="E150">
        <f>_xll.BDP($C150,"DUR_ADJ_MID")</f>
        <v>3.0807438683633368</v>
      </c>
      <c r="F150">
        <f>_xll.BDP($C150,"OAS_SPREAD_DUR_MID")</f>
        <v>2.3943474463174121</v>
      </c>
      <c r="G150" t="str">
        <f>_xll.BDP($C150,"MATURITY")</f>
        <v>4/15/2030</v>
      </c>
      <c r="H150" t="str">
        <f>_xll.BDP($C150,"RTG_SP")</f>
        <v>CCC+</v>
      </c>
    </row>
    <row r="151" spans="1:8" x14ac:dyDescent="0.25">
      <c r="A151" s="1" t="s">
        <v>133</v>
      </c>
      <c r="B151" s="1" t="s">
        <v>1140</v>
      </c>
      <c r="C151" s="1" t="s">
        <v>1141</v>
      </c>
      <c r="D151" s="1" t="s">
        <v>1142</v>
      </c>
      <c r="E151">
        <f>_xll.BDP($C151,"DUR_ADJ_MID")</f>
        <v>0.17901904422661172</v>
      </c>
      <c r="F151">
        <f>_xll.BDP($C151,"OAS_SPREAD_DUR_MID")</f>
        <v>0.17891126811807465</v>
      </c>
      <c r="G151" t="str">
        <f>_xll.BDP($C151,"MATURITY")</f>
        <v>9/1/2028</v>
      </c>
      <c r="H151" t="str">
        <f>_xll.BDP($C151,"RTG_SP")</f>
        <v>B-</v>
      </c>
    </row>
    <row r="152" spans="1:8" x14ac:dyDescent="0.25">
      <c r="A152" s="1" t="s">
        <v>133</v>
      </c>
      <c r="B152" s="1" t="s">
        <v>1143</v>
      </c>
      <c r="C152" s="1" t="s">
        <v>1144</v>
      </c>
      <c r="D152" s="1" t="s">
        <v>1145</v>
      </c>
      <c r="E152">
        <f>_xll.BDP($C152,"DUR_ADJ_MID")</f>
        <v>2.9345270211901444</v>
      </c>
      <c r="F152">
        <f>_xll.BDP($C152,"OAS_SPREAD_DUR_MID")</f>
        <v>2.9387615264747757</v>
      </c>
      <c r="G152" t="str">
        <f>_xll.BDP($C152,"MATURITY")</f>
        <v>2/15/2030</v>
      </c>
      <c r="H152" t="str">
        <f>_xll.BDP($C152,"RTG_SP")</f>
        <v>CCC+</v>
      </c>
    </row>
    <row r="153" spans="1:8" x14ac:dyDescent="0.25">
      <c r="A153" s="1" t="s">
        <v>133</v>
      </c>
      <c r="B153" s="1" t="s">
        <v>1146</v>
      </c>
      <c r="C153" s="1" t="s">
        <v>1147</v>
      </c>
      <c r="D153" s="1" t="s">
        <v>1148</v>
      </c>
      <c r="E153">
        <f>_xll.BDP($C153,"DUR_ADJ_MID")</f>
        <v>3.1946275813926879</v>
      </c>
      <c r="F153">
        <f>_xll.BDP($C153,"OAS_SPREAD_DUR_MID")</f>
        <v>2.0514899818780612</v>
      </c>
      <c r="G153" t="str">
        <f>_xll.BDP($C153,"MATURITY")</f>
        <v>2/15/2030</v>
      </c>
      <c r="H153" t="str">
        <f>_xll.BDP($C153,"RTG_SP")</f>
        <v>BB</v>
      </c>
    </row>
    <row r="154" spans="1:8" x14ac:dyDescent="0.25">
      <c r="A154" s="1" t="s">
        <v>133</v>
      </c>
      <c r="B154" s="1" t="s">
        <v>1149</v>
      </c>
      <c r="C154" s="1" t="s">
        <v>1150</v>
      </c>
      <c r="D154" s="1" t="s">
        <v>1151</v>
      </c>
      <c r="E154">
        <f>_xll.BDP($C154,"DUR_ADJ_MID")</f>
        <v>3.3408634701245474</v>
      </c>
      <c r="F154">
        <f>_xll.BDP($C154,"OAS_SPREAD_DUR_MID")</f>
        <v>3.3832390991616812</v>
      </c>
      <c r="G154" t="str">
        <f>_xll.BDP($C154,"MATURITY")</f>
        <v>4/30/2031</v>
      </c>
      <c r="H154" t="str">
        <f>_xll.BDP($C154,"RTG_SP")</f>
        <v>BB-</v>
      </c>
    </row>
    <row r="155" spans="1:8" x14ac:dyDescent="0.25">
      <c r="A155" s="1" t="s">
        <v>133</v>
      </c>
      <c r="B155" s="1" t="s">
        <v>1152</v>
      </c>
      <c r="C155" s="1" t="s">
        <v>1153</v>
      </c>
      <c r="D155" s="1" t="s">
        <v>1154</v>
      </c>
      <c r="E155">
        <f>_xll.BDP($C155,"DUR_ADJ_MID")</f>
        <v>2.7187888185121074</v>
      </c>
      <c r="F155">
        <f>_xll.BDP($C155,"OAS_SPREAD_DUR_MID")</f>
        <v>2.6800330595147082</v>
      </c>
      <c r="G155" t="str">
        <f>_xll.BDP($C155,"MATURITY")</f>
        <v>8/1/2030</v>
      </c>
      <c r="H155" t="str">
        <f>_xll.BDP($C155,"RTG_SP")</f>
        <v>BB</v>
      </c>
    </row>
    <row r="156" spans="1:8" x14ac:dyDescent="0.25">
      <c r="A156" s="1" t="s">
        <v>133</v>
      </c>
      <c r="B156" s="1" t="s">
        <v>1155</v>
      </c>
      <c r="C156" s="1" t="s">
        <v>1156</v>
      </c>
      <c r="D156" s="1" t="s">
        <v>1157</v>
      </c>
      <c r="E156">
        <f>_xll.BDP($C156,"DUR_ADJ_MID")</f>
        <v>3.2354152598261599</v>
      </c>
      <c r="F156">
        <f>_xll.BDP($C156,"OAS_SPREAD_DUR_MID")</f>
        <v>2.8149624784246607</v>
      </c>
      <c r="G156" t="str">
        <f>_xll.BDP($C156,"MATURITY")</f>
        <v>4/1/2031</v>
      </c>
      <c r="H156" t="str">
        <f>_xll.BDP($C156,"RTG_SP")</f>
        <v>#N/A N/A</v>
      </c>
    </row>
    <row r="157" spans="1:8" x14ac:dyDescent="0.25">
      <c r="A157" s="1" t="s">
        <v>133</v>
      </c>
      <c r="B157" s="1" t="s">
        <v>1158</v>
      </c>
      <c r="C157" s="1" t="s">
        <v>1159</v>
      </c>
      <c r="D157" s="1" t="s">
        <v>1160</v>
      </c>
      <c r="E157">
        <f>_xll.BDP($C157,"DUR_ADJ_MID")</f>
        <v>3.0914661588959276</v>
      </c>
      <c r="F157">
        <f>_xll.BDP($C157,"OAS_SPREAD_DUR_MID")</f>
        <v>2.8822938420671274</v>
      </c>
      <c r="G157" t="str">
        <f>_xll.BDP($C157,"MATURITY")</f>
        <v>2/15/2030</v>
      </c>
      <c r="H157" t="str">
        <f>_xll.BDP($C157,"RTG_SP")</f>
        <v>CCC</v>
      </c>
    </row>
    <row r="158" spans="1:8" x14ac:dyDescent="0.25">
      <c r="A158" s="1" t="s">
        <v>133</v>
      </c>
      <c r="B158" s="1" t="s">
        <v>1161</v>
      </c>
      <c r="C158" s="1" t="s">
        <v>1162</v>
      </c>
      <c r="D158" s="1" t="s">
        <v>1163</v>
      </c>
      <c r="E158">
        <f>_xll.BDP($C158,"DUR_ADJ_MID")</f>
        <v>2.4472904180901276</v>
      </c>
      <c r="F158">
        <f>_xll.BDP($C158,"OAS_SPREAD_DUR_MID")</f>
        <v>1.9905502467891802</v>
      </c>
      <c r="G158" t="str">
        <f>_xll.BDP($C158,"MATURITY")</f>
        <v>4/15/2030</v>
      </c>
      <c r="H158" t="str">
        <f>_xll.BDP($C158,"RTG_SP")</f>
        <v>B-</v>
      </c>
    </row>
    <row r="159" spans="1:8" x14ac:dyDescent="0.25">
      <c r="A159" s="1" t="s">
        <v>133</v>
      </c>
      <c r="B159" s="1" t="s">
        <v>1164</v>
      </c>
      <c r="C159" s="1" t="s">
        <v>1165</v>
      </c>
      <c r="D159" s="1" t="s">
        <v>1166</v>
      </c>
      <c r="E159">
        <f>_xll.BDP($C159,"DUR_ADJ_MID")</f>
        <v>1.8570827434893937</v>
      </c>
      <c r="F159">
        <f>_xll.BDP($C159,"OAS_SPREAD_DUR_MID")</f>
        <v>1.7018516620618869</v>
      </c>
      <c r="G159" t="str">
        <f>_xll.BDP($C159,"MATURITY")</f>
        <v>6/15/2028</v>
      </c>
      <c r="H159" t="str">
        <f>_xll.BDP($C159,"RTG_SP")</f>
        <v>BB-</v>
      </c>
    </row>
    <row r="160" spans="1:8" x14ac:dyDescent="0.25">
      <c r="A160" s="1" t="s">
        <v>133</v>
      </c>
      <c r="B160" s="1" t="s">
        <v>1167</v>
      </c>
      <c r="C160" s="1" t="s">
        <v>1168</v>
      </c>
      <c r="D160" s="1" t="s">
        <v>1169</v>
      </c>
      <c r="E160">
        <f>_xll.BDP($C160,"DUR_ADJ_MID")</f>
        <v>2.925290569618586</v>
      </c>
      <c r="F160">
        <f>_xll.BDP($C160,"OAS_SPREAD_DUR_MID")</f>
        <v>1.602506548954673</v>
      </c>
      <c r="G160" t="str">
        <f>_xll.BDP($C160,"MATURITY")</f>
        <v>10/1/2029</v>
      </c>
      <c r="H160" t="str">
        <f>_xll.BDP($C160,"RTG_SP")</f>
        <v>BB-</v>
      </c>
    </row>
    <row r="161" spans="1:8" x14ac:dyDescent="0.25">
      <c r="A161" s="1" t="s">
        <v>133</v>
      </c>
      <c r="B161" s="1" t="s">
        <v>1170</v>
      </c>
      <c r="C161" s="1" t="s">
        <v>1171</v>
      </c>
      <c r="D161" s="1" t="s">
        <v>1172</v>
      </c>
      <c r="E161">
        <f>_xll.BDP($C161,"DUR_ADJ_MID")</f>
        <v>2.9066626706286094</v>
      </c>
      <c r="F161">
        <f>_xll.BDP($C161,"OAS_SPREAD_DUR_MID")</f>
        <v>2.2618762536619843</v>
      </c>
      <c r="G161" t="str">
        <f>_xll.BDP($C161,"MATURITY")</f>
        <v>9/15/2029</v>
      </c>
      <c r="H161" t="str">
        <f>_xll.BDP($C161,"RTG_SP")</f>
        <v>BB+</v>
      </c>
    </row>
    <row r="162" spans="1:8" x14ac:dyDescent="0.25">
      <c r="A162" s="1" t="s">
        <v>133</v>
      </c>
      <c r="B162" s="1" t="s">
        <v>1173</v>
      </c>
      <c r="C162" s="1" t="s">
        <v>1174</v>
      </c>
      <c r="D162" s="1" t="s">
        <v>1175</v>
      </c>
      <c r="E162">
        <f>_xll.BDP($C162,"DUR_ADJ_MID")</f>
        <v>1.6628213814194543</v>
      </c>
      <c r="F162">
        <f>_xll.BDP($C162,"OAS_SPREAD_DUR_MID")</f>
        <v>1.7070003983693458</v>
      </c>
      <c r="G162" t="str">
        <f>_xll.BDP($C162,"MATURITY")</f>
        <v>2/19/2029</v>
      </c>
      <c r="H162" t="str">
        <f>_xll.BDP($C162,"RTG_SP")</f>
        <v>CCC+</v>
      </c>
    </row>
    <row r="163" spans="1:8" x14ac:dyDescent="0.25">
      <c r="A163" s="1" t="s">
        <v>133</v>
      </c>
      <c r="B163" s="1" t="s">
        <v>1176</v>
      </c>
      <c r="C163" s="1" t="s">
        <v>1177</v>
      </c>
      <c r="D163" s="1" t="s">
        <v>1178</v>
      </c>
      <c r="E163">
        <f>_xll.BDP($C163,"DUR_ADJ_MID")</f>
        <v>3.8199283092025413</v>
      </c>
      <c r="F163">
        <f>_xll.BDP($C163,"OAS_SPREAD_DUR_MID")</f>
        <v>3.3968983159551636</v>
      </c>
      <c r="G163" t="str">
        <f>_xll.BDP($C163,"MATURITY")</f>
        <v>1/15/2031</v>
      </c>
      <c r="H163" t="str">
        <f>_xll.BDP($C163,"RTG_SP")</f>
        <v>B+</v>
      </c>
    </row>
    <row r="164" spans="1:8" x14ac:dyDescent="0.25">
      <c r="A164" s="1" t="s">
        <v>133</v>
      </c>
      <c r="B164" s="1" t="s">
        <v>1179</v>
      </c>
      <c r="C164" s="1" t="s">
        <v>1180</v>
      </c>
      <c r="D164" s="1" t="s">
        <v>1181</v>
      </c>
      <c r="E164">
        <f>_xll.BDP($C164,"DUR_ADJ_MID")</f>
        <v>2.7102892516293822</v>
      </c>
      <c r="F164">
        <f>_xll.BDP($C164,"OAS_SPREAD_DUR_MID")</f>
        <v>1.7658859272101677</v>
      </c>
      <c r="G164" t="str">
        <f>_xll.BDP($C164,"MATURITY")</f>
        <v>6/15/2029</v>
      </c>
      <c r="H164" t="str">
        <f>_xll.BDP($C164,"RTG_SP")</f>
        <v>BB</v>
      </c>
    </row>
    <row r="165" spans="1:8" x14ac:dyDescent="0.25">
      <c r="A165" s="1" t="s">
        <v>133</v>
      </c>
      <c r="B165" s="1" t="s">
        <v>1182</v>
      </c>
      <c r="C165" s="1" t="s">
        <v>1183</v>
      </c>
      <c r="D165" s="1" t="s">
        <v>1184</v>
      </c>
      <c r="E165">
        <f>_xll.BDP($C165,"DUR_ADJ_MID")</f>
        <v>2.4337599810549824</v>
      </c>
      <c r="F165">
        <f>_xll.BDP($C165,"OAS_SPREAD_DUR_MID")</f>
        <v>2.3638056488908439</v>
      </c>
      <c r="G165" t="str">
        <f>_xll.BDP($C165,"MATURITY")</f>
        <v>3/15/2029</v>
      </c>
      <c r="H165" t="str">
        <f>_xll.BDP($C165,"RTG_SP")</f>
        <v>BB-</v>
      </c>
    </row>
    <row r="166" spans="1:8" x14ac:dyDescent="0.25">
      <c r="A166" s="1" t="s">
        <v>133</v>
      </c>
      <c r="B166" s="1" t="s">
        <v>1185</v>
      </c>
      <c r="C166" s="1" t="s">
        <v>1186</v>
      </c>
      <c r="D166" s="1" t="s">
        <v>1187</v>
      </c>
      <c r="E166">
        <f>_xll.BDP($C166,"DUR_ADJ_MID")</f>
        <v>2.7938236955162656</v>
      </c>
      <c r="F166">
        <f>_xll.BDP($C166,"OAS_SPREAD_DUR_MID")</f>
        <v>2.8060013335924547</v>
      </c>
      <c r="G166" t="str">
        <f>_xll.BDP($C166,"MATURITY")</f>
        <v>5/15/2031</v>
      </c>
      <c r="H166" t="str">
        <f>_xll.BDP($C166,"RTG_SP")</f>
        <v>B-</v>
      </c>
    </row>
    <row r="167" spans="1:8" x14ac:dyDescent="0.25">
      <c r="A167" s="1" t="s">
        <v>133</v>
      </c>
      <c r="B167" s="1" t="s">
        <v>1188</v>
      </c>
      <c r="C167" s="1" t="s">
        <v>1189</v>
      </c>
      <c r="D167" s="1" t="s">
        <v>1190</v>
      </c>
      <c r="E167">
        <f>_xll.BDP($C167,"DUR_ADJ_MID")</f>
        <v>2.8414611312563087</v>
      </c>
      <c r="F167">
        <f>_xll.BDP($C167,"OAS_SPREAD_DUR_MID")</f>
        <v>2.8949151594796896</v>
      </c>
      <c r="G167" t="str">
        <f>_xll.BDP($C167,"MATURITY")</f>
        <v>11/1/2030</v>
      </c>
      <c r="H167" t="str">
        <f>_xll.BDP($C167,"RTG_SP")</f>
        <v>B+</v>
      </c>
    </row>
    <row r="168" spans="1:8" x14ac:dyDescent="0.25">
      <c r="A168" s="1" t="s">
        <v>133</v>
      </c>
      <c r="B168" s="1" t="s">
        <v>1191</v>
      </c>
      <c r="C168" s="1" t="s">
        <v>1192</v>
      </c>
      <c r="D168" s="1" t="s">
        <v>1193</v>
      </c>
      <c r="E168">
        <f>_xll.BDP($C168,"DUR_ADJ_MID")</f>
        <v>1.5500524194157586</v>
      </c>
      <c r="F168">
        <f>_xll.BDP($C168,"OAS_SPREAD_DUR_MID")</f>
        <v>1.5606518234258169</v>
      </c>
      <c r="G168" t="str">
        <f>_xll.BDP($C168,"MATURITY")</f>
        <v>6/1/2028</v>
      </c>
      <c r="H168" t="str">
        <f>_xll.BDP($C168,"RTG_SP")</f>
        <v>B+</v>
      </c>
    </row>
    <row r="169" spans="1:8" x14ac:dyDescent="0.25">
      <c r="A169" s="1" t="s">
        <v>133</v>
      </c>
      <c r="B169" s="1" t="s">
        <v>1194</v>
      </c>
      <c r="C169" s="1" t="s">
        <v>1195</v>
      </c>
      <c r="D169" s="1" t="s">
        <v>1196</v>
      </c>
      <c r="E169">
        <f>_xll.BDP($C169,"DUR_ADJ_MID")</f>
        <v>2.1706077777500061</v>
      </c>
      <c r="F169">
        <f>_xll.BDP($C169,"OAS_SPREAD_DUR_MID")</f>
        <v>1.9916980840642848</v>
      </c>
      <c r="G169" t="str">
        <f>_xll.BDP($C169,"MATURITY")</f>
        <v>11/1/2028</v>
      </c>
      <c r="H169" t="str">
        <f>_xll.BDP($C169,"RTG_SP")</f>
        <v>BB-</v>
      </c>
    </row>
    <row r="170" spans="1:8" x14ac:dyDescent="0.25">
      <c r="A170" s="1" t="s">
        <v>133</v>
      </c>
      <c r="B170" s="1" t="s">
        <v>1197</v>
      </c>
      <c r="C170" s="1" t="s">
        <v>1198</v>
      </c>
      <c r="D170" s="1" t="s">
        <v>1199</v>
      </c>
      <c r="E170">
        <f>_xll.BDP($C170,"DUR_ADJ_MID")</f>
        <v>2.0406970789156924</v>
      </c>
      <c r="F170">
        <f>_xll.BDP($C170,"OAS_SPREAD_DUR_MID")</f>
        <v>2.0741145157023277</v>
      </c>
      <c r="G170" t="str">
        <f>_xll.BDP($C170,"MATURITY")</f>
        <v>1/15/2029</v>
      </c>
      <c r="H170" t="str">
        <f>_xll.BDP($C170,"RTG_SP")</f>
        <v>BB</v>
      </c>
    </row>
    <row r="171" spans="1:8" x14ac:dyDescent="0.25">
      <c r="A171" s="1" t="s">
        <v>133</v>
      </c>
      <c r="B171" s="1" t="s">
        <v>1200</v>
      </c>
      <c r="C171" s="1" t="s">
        <v>1201</v>
      </c>
      <c r="D171" s="1" t="s">
        <v>1202</v>
      </c>
      <c r="E171">
        <f>_xll.BDP($C171,"DUR_ADJ_MID")</f>
        <v>1.1603123237619817</v>
      </c>
      <c r="F171">
        <f>_xll.BDP($C171,"OAS_SPREAD_DUR_MID")</f>
        <v>1.1552367130511305</v>
      </c>
      <c r="G171" t="str">
        <f>_xll.BDP($C171,"MATURITY")</f>
        <v>9/17/2027</v>
      </c>
      <c r="H171" t="str">
        <f>_xll.BDP($C171,"RTG_SP")</f>
        <v>BB-</v>
      </c>
    </row>
    <row r="172" spans="1:8" x14ac:dyDescent="0.25">
      <c r="A172" s="1" t="s">
        <v>133</v>
      </c>
      <c r="B172" s="1" t="s">
        <v>1203</v>
      </c>
      <c r="C172" s="1" t="s">
        <v>1204</v>
      </c>
      <c r="D172" s="1" t="s">
        <v>1205</v>
      </c>
      <c r="E172">
        <f>_xll.BDP($C172,"DUR_ADJ_MID")</f>
        <v>0.25801819175999852</v>
      </c>
      <c r="F172">
        <f>_xll.BDP($C172,"OAS_SPREAD_DUR_MID")</f>
        <v>0.25778381804115497</v>
      </c>
      <c r="G172" t="str">
        <f>_xll.BDP($C172,"MATURITY")</f>
        <v>9/30/2027</v>
      </c>
      <c r="H172" t="str">
        <f>_xll.BDP($C172,"RTG_SP")</f>
        <v>BB-</v>
      </c>
    </row>
    <row r="173" spans="1:8" x14ac:dyDescent="0.25">
      <c r="A173" s="1" t="s">
        <v>133</v>
      </c>
      <c r="B173" s="1" t="s">
        <v>1206</v>
      </c>
      <c r="C173" s="1" t="s">
        <v>1207</v>
      </c>
      <c r="D173" s="1" t="s">
        <v>1208</v>
      </c>
      <c r="E173">
        <f>_xll.BDP($C173,"DUR_ADJ_MID")</f>
        <v>3.1844028610688961</v>
      </c>
      <c r="F173">
        <f>_xll.BDP($C173,"OAS_SPREAD_DUR_MID")</f>
        <v>2.8933833257816763</v>
      </c>
      <c r="G173" t="str">
        <f>_xll.BDP($C173,"MATURITY")</f>
        <v>1/30/2030</v>
      </c>
      <c r="H173" t="str">
        <f>_xll.BDP($C173,"RTG_SP")</f>
        <v>BB</v>
      </c>
    </row>
    <row r="174" spans="1:8" x14ac:dyDescent="0.25">
      <c r="A174" s="1" t="s">
        <v>133</v>
      </c>
      <c r="B174" s="1" t="s">
        <v>1209</v>
      </c>
      <c r="C174" s="1" t="s">
        <v>1210</v>
      </c>
      <c r="D174" s="1" t="s">
        <v>1211</v>
      </c>
      <c r="E174">
        <f>_xll.BDP($C174,"DUR_ADJ_MID")</f>
        <v>2.8878583986919519</v>
      </c>
      <c r="F174">
        <f>_xll.BDP($C174,"OAS_SPREAD_DUR_MID")</f>
        <v>3.0000213713354209</v>
      </c>
      <c r="G174" t="str">
        <f>_xll.BDP($C174,"MATURITY")</f>
        <v>10/1/2030</v>
      </c>
      <c r="H174" t="str">
        <f>_xll.BDP($C174,"RTG_SP")</f>
        <v>BB</v>
      </c>
    </row>
    <row r="175" spans="1:8" x14ac:dyDescent="0.25">
      <c r="A175" s="1" t="s">
        <v>133</v>
      </c>
      <c r="B175" s="1" t="s">
        <v>1212</v>
      </c>
      <c r="C175" s="1" t="s">
        <v>1213</v>
      </c>
      <c r="D175" s="1" t="s">
        <v>1214</v>
      </c>
      <c r="E175">
        <f>_xll.BDP($C175,"DUR_ADJ_MID")</f>
        <v>2.8534846821753805</v>
      </c>
      <c r="F175">
        <f>_xll.BDP($C175,"OAS_SPREAD_DUR_MID")</f>
        <v>2.9391891376028827</v>
      </c>
      <c r="G175" t="str">
        <f>_xll.BDP($C175,"MATURITY")</f>
        <v>1/24/2030</v>
      </c>
      <c r="H175" t="str">
        <f>_xll.BDP($C175,"RTG_SP")</f>
        <v>NR</v>
      </c>
    </row>
    <row r="176" spans="1:8" x14ac:dyDescent="0.25">
      <c r="A176" s="1" t="s">
        <v>133</v>
      </c>
      <c r="B176" s="1" t="s">
        <v>1215</v>
      </c>
      <c r="C176" s="1" t="s">
        <v>1216</v>
      </c>
      <c r="D176" s="1" t="s">
        <v>1217</v>
      </c>
      <c r="E176">
        <f>_xll.BDP($C176,"DUR_ADJ_MID")</f>
        <v>3.848342767747448</v>
      </c>
      <c r="F176">
        <f>_xll.BDP($C176,"OAS_SPREAD_DUR_MID")</f>
        <v>3.6693606319682166</v>
      </c>
      <c r="G176" t="str">
        <f>_xll.BDP($C176,"MATURITY")</f>
        <v>10/15/2030</v>
      </c>
      <c r="H176" t="str">
        <f>_xll.BDP($C176,"RTG_SP")</f>
        <v>BB-</v>
      </c>
    </row>
    <row r="177" spans="1:8" x14ac:dyDescent="0.25">
      <c r="A177" s="1" t="s">
        <v>133</v>
      </c>
      <c r="B177" s="1" t="s">
        <v>1218</v>
      </c>
      <c r="C177" s="1" t="s">
        <v>1219</v>
      </c>
      <c r="D177" s="1" t="s">
        <v>1220</v>
      </c>
      <c r="E177">
        <f>_xll.BDP($C177,"DUR_ADJ_MID")</f>
        <v>3.237939016293081</v>
      </c>
      <c r="F177">
        <f>_xll.BDP($C177,"OAS_SPREAD_DUR_MID")</f>
        <v>3.241526745797858</v>
      </c>
      <c r="G177" t="str">
        <f>_xll.BDP($C177,"MATURITY")</f>
        <v>2/15/2030</v>
      </c>
      <c r="H177" t="str">
        <f>_xll.BDP($C177,"RTG_SP")</f>
        <v>BB</v>
      </c>
    </row>
    <row r="178" spans="1:8" x14ac:dyDescent="0.25">
      <c r="A178" s="1" t="s">
        <v>133</v>
      </c>
      <c r="B178" s="1" t="s">
        <v>1221</v>
      </c>
      <c r="C178" s="1" t="s">
        <v>1222</v>
      </c>
      <c r="D178" s="1" t="s">
        <v>1223</v>
      </c>
      <c r="E178">
        <f>_xll.BDP($C178,"DUR_ADJ_MID")</f>
        <v>1.8446230652439737</v>
      </c>
      <c r="F178">
        <f>_xll.BDP($C178,"OAS_SPREAD_DUR_MID")</f>
        <v>1.3399251898704316</v>
      </c>
      <c r="G178" t="str">
        <f>_xll.BDP($C178,"MATURITY")</f>
        <v>7/1/2028</v>
      </c>
      <c r="H178" t="str">
        <f>_xll.BDP($C178,"RTG_SP")</f>
        <v>BB+</v>
      </c>
    </row>
    <row r="179" spans="1:8" x14ac:dyDescent="0.25">
      <c r="A179" s="1" t="s">
        <v>133</v>
      </c>
      <c r="B179" s="1" t="s">
        <v>1224</v>
      </c>
      <c r="C179" s="1" t="s">
        <v>1225</v>
      </c>
      <c r="D179" s="1" t="s">
        <v>1226</v>
      </c>
      <c r="E179">
        <f>_xll.BDP($C179,"DUR_ADJ_MID")</f>
        <v>0.5617034336468103</v>
      </c>
      <c r="F179">
        <f>_xll.BDP($C179,"OAS_SPREAD_DUR_MID")</f>
        <v>0.56701079252660935</v>
      </c>
      <c r="G179" t="str">
        <f>_xll.BDP($C179,"MATURITY")</f>
        <v>2/1/2028</v>
      </c>
      <c r="H179" t="str">
        <f>_xll.BDP($C179,"RTG_SP")</f>
        <v>BB</v>
      </c>
    </row>
    <row r="180" spans="1:8" x14ac:dyDescent="0.25">
      <c r="A180" s="1" t="s">
        <v>133</v>
      </c>
      <c r="B180" s="1" t="s">
        <v>1227</v>
      </c>
      <c r="C180" s="1" t="s">
        <v>1228</v>
      </c>
      <c r="D180" s="1" t="s">
        <v>1229</v>
      </c>
      <c r="E180">
        <f>_xll.BDP($C180,"DUR_ADJ_MID")</f>
        <v>3.9922980859783155</v>
      </c>
      <c r="F180">
        <f>_xll.BDP($C180,"OAS_SPREAD_DUR_MID")</f>
        <v>3.4028012380072412</v>
      </c>
      <c r="G180" t="str">
        <f>_xll.BDP($C180,"MATURITY")</f>
        <v>5/1/2031</v>
      </c>
      <c r="H180" t="str">
        <f>_xll.BDP($C180,"RTG_SP")</f>
        <v>(P)BB</v>
      </c>
    </row>
    <row r="181" spans="1:8" x14ac:dyDescent="0.25">
      <c r="A181" s="1" t="s">
        <v>133</v>
      </c>
      <c r="B181" s="1" t="s">
        <v>1230</v>
      </c>
      <c r="C181" s="1" t="s">
        <v>1231</v>
      </c>
      <c r="D181" s="1" t="s">
        <v>1232</v>
      </c>
      <c r="E181">
        <f>_xll.BDP($C181,"DUR_ADJ_MID")</f>
        <v>1.9611238916133911</v>
      </c>
      <c r="F181">
        <f>_xll.BDP($C181,"OAS_SPREAD_DUR_MID")</f>
        <v>2.4534096685903548</v>
      </c>
      <c r="G181" t="str">
        <f>_xll.BDP($C181,"MATURITY")</f>
        <v>3/15/2031</v>
      </c>
      <c r="H181" t="str">
        <f>_xll.BDP($C181,"RTG_SP")</f>
        <v>B-</v>
      </c>
    </row>
    <row r="182" spans="1:8" x14ac:dyDescent="0.25">
      <c r="A182" s="1" t="s">
        <v>133</v>
      </c>
      <c r="B182" s="1" t="s">
        <v>1233</v>
      </c>
      <c r="C182" s="1" t="s">
        <v>1234</v>
      </c>
      <c r="D182" s="1" t="s">
        <v>1235</v>
      </c>
      <c r="E182">
        <f>_xll.BDP($C182,"DUR_ADJ_MID")</f>
        <v>2.604152416473223</v>
      </c>
      <c r="F182">
        <f>_xll.BDP($C182,"OAS_SPREAD_DUR_MID")</f>
        <v>2.224666195647313</v>
      </c>
      <c r="G182" t="str">
        <f>_xll.BDP($C182,"MATURITY")</f>
        <v>5/1/2029</v>
      </c>
      <c r="H182" t="str">
        <f>_xll.BDP($C182,"RTG_SP")</f>
        <v>BB-</v>
      </c>
    </row>
    <row r="183" spans="1:8" x14ac:dyDescent="0.25">
      <c r="A183" s="1" t="s">
        <v>133</v>
      </c>
      <c r="B183" s="1" t="s">
        <v>1236</v>
      </c>
      <c r="C183" s="1" t="s">
        <v>1237</v>
      </c>
      <c r="D183" s="1" t="s">
        <v>1238</v>
      </c>
      <c r="E183">
        <f>_xll.BDP($C183,"DUR_ADJ_MID")</f>
        <v>2.6934983586869863</v>
      </c>
      <c r="F183">
        <f>_xll.BDP($C183,"OAS_SPREAD_DUR_MID")</f>
        <v>2.6945099216986752</v>
      </c>
      <c r="G183" t="str">
        <f>_xll.BDP($C183,"MATURITY")</f>
        <v>6/15/2029</v>
      </c>
      <c r="H183" t="str">
        <f>_xll.BDP($C183,"RTG_SP")</f>
        <v>B</v>
      </c>
    </row>
    <row r="184" spans="1:8" x14ac:dyDescent="0.25">
      <c r="A184" s="1" t="s">
        <v>133</v>
      </c>
      <c r="B184" s="1" t="s">
        <v>1239</v>
      </c>
      <c r="C184" s="1" t="s">
        <v>1240</v>
      </c>
      <c r="D184" s="1" t="s">
        <v>1241</v>
      </c>
      <c r="E184">
        <f>_xll.BDP($C184,"DUR_ADJ_MID")</f>
        <v>3.2218020817413078</v>
      </c>
      <c r="F184">
        <f>_xll.BDP($C184,"OAS_SPREAD_DUR_MID")</f>
        <v>3.3223208564278943</v>
      </c>
      <c r="G184" t="str">
        <f>_xll.BDP($C184,"MATURITY")</f>
        <v>4/1/2031</v>
      </c>
      <c r="H184" t="str">
        <f>_xll.BDP($C184,"RTG_SP")</f>
        <v>B</v>
      </c>
    </row>
    <row r="185" spans="1:8" x14ac:dyDescent="0.25">
      <c r="A185" s="1" t="s">
        <v>133</v>
      </c>
      <c r="B185" s="1" t="s">
        <v>1242</v>
      </c>
      <c r="C185" s="1" t="s">
        <v>1243</v>
      </c>
      <c r="D185" s="1" t="s">
        <v>1244</v>
      </c>
      <c r="E185">
        <f>_xll.BDP($C185,"DUR_ADJ_MID")</f>
        <v>2.4488520520203827</v>
      </c>
      <c r="F185">
        <f>_xll.BDP($C185,"OAS_SPREAD_DUR_MID")</f>
        <v>2.4481629735223818</v>
      </c>
      <c r="G185" t="str">
        <f>_xll.BDP($C185,"MATURITY")</f>
        <v>3/15/2029</v>
      </c>
      <c r="H185" t="str">
        <f>_xll.BDP($C185,"RTG_SP")</f>
        <v>B</v>
      </c>
    </row>
    <row r="186" spans="1:8" x14ac:dyDescent="0.25">
      <c r="A186" s="1" t="s">
        <v>133</v>
      </c>
      <c r="B186" s="1" t="s">
        <v>1245</v>
      </c>
      <c r="C186" s="1" t="s">
        <v>1246</v>
      </c>
      <c r="D186" s="1" t="s">
        <v>1247</v>
      </c>
      <c r="E186">
        <f>_xll.BDP($C186,"DUR_ADJ_MID")</f>
        <v>0.52132539784653487</v>
      </c>
      <c r="F186">
        <f>_xll.BDP($C186,"OAS_SPREAD_DUR_MID")</f>
        <v>0.69560851434314319</v>
      </c>
      <c r="G186" t="str">
        <f>_xll.BDP($C186,"MATURITY")</f>
        <v>1/15/2029</v>
      </c>
      <c r="H186" t="str">
        <f>_xll.BDP($C186,"RTG_SP")</f>
        <v>BB-</v>
      </c>
    </row>
    <row r="187" spans="1:8" x14ac:dyDescent="0.25">
      <c r="A187" s="1" t="s">
        <v>133</v>
      </c>
      <c r="B187" s="1" t="s">
        <v>1248</v>
      </c>
      <c r="C187" s="1" t="s">
        <v>1249</v>
      </c>
      <c r="D187" s="1" t="s">
        <v>1250</v>
      </c>
      <c r="E187">
        <f>_xll.BDP($C187,"DUR_ADJ_MID")</f>
        <v>4.225812267986643</v>
      </c>
      <c r="F187">
        <f>_xll.BDP($C187,"OAS_SPREAD_DUR_MID")</f>
        <v>4.1694195669793119</v>
      </c>
      <c r="G187" t="str">
        <f>_xll.BDP($C187,"MATURITY")</f>
        <v>4/1/2031</v>
      </c>
      <c r="H187" t="str">
        <f>_xll.BDP($C187,"RTG_SP")</f>
        <v>BB-</v>
      </c>
    </row>
    <row r="188" spans="1:8" x14ac:dyDescent="0.25">
      <c r="A188" s="1" t="s">
        <v>133</v>
      </c>
      <c r="B188" s="1" t="s">
        <v>1251</v>
      </c>
      <c r="C188" s="1" t="s">
        <v>1252</v>
      </c>
      <c r="D188" s="1" t="s">
        <v>1253</v>
      </c>
      <c r="E188">
        <f>_xll.BDP($C188,"DUR_ADJ_MID")</f>
        <v>1.9057477252200519</v>
      </c>
      <c r="F188">
        <f>_xll.BDP($C188,"OAS_SPREAD_DUR_MID")</f>
        <v>1.1988362898844054</v>
      </c>
      <c r="G188" t="str">
        <f>_xll.BDP($C188,"MATURITY")</f>
        <v>9/1/2029</v>
      </c>
      <c r="H188" t="str">
        <f>_xll.BDP($C188,"RTG_SP")</f>
        <v>B</v>
      </c>
    </row>
    <row r="189" spans="1:8" x14ac:dyDescent="0.25">
      <c r="A189" s="1" t="s">
        <v>133</v>
      </c>
      <c r="B189" s="1" t="s">
        <v>1254</v>
      </c>
      <c r="C189" s="1" t="s">
        <v>1255</v>
      </c>
      <c r="D189" s="1" t="s">
        <v>1256</v>
      </c>
      <c r="E189">
        <f>_xll.BDP($C189,"DUR_ADJ_MID")</f>
        <v>4.1416514129979269</v>
      </c>
      <c r="F189">
        <f>_xll.BDP($C189,"OAS_SPREAD_DUR_MID")</f>
        <v>3.9988917578124061</v>
      </c>
      <c r="G189" t="str">
        <f>_xll.BDP($C189,"MATURITY")</f>
        <v>3/1/2031</v>
      </c>
      <c r="H189" t="str">
        <f>_xll.BDP($C189,"RTG_SP")</f>
        <v>BB</v>
      </c>
    </row>
    <row r="190" spans="1:8" x14ac:dyDescent="0.25">
      <c r="A190" s="1" t="s">
        <v>133</v>
      </c>
      <c r="B190" s="1" t="s">
        <v>1257</v>
      </c>
      <c r="C190" s="1" t="s">
        <v>1258</v>
      </c>
      <c r="D190" s="1" t="s">
        <v>1259</v>
      </c>
      <c r="E190">
        <f>_xll.BDP($C190,"DUR_ADJ_MID")</f>
        <v>2.4155632138406138</v>
      </c>
      <c r="F190">
        <f>_xll.BDP($C190,"OAS_SPREAD_DUR_MID")</f>
        <v>2.4161011546205766</v>
      </c>
      <c r="G190" t="str">
        <f>_xll.BDP($C190,"MATURITY")</f>
        <v>4/15/2029</v>
      </c>
      <c r="H190" t="str">
        <f>_xll.BDP($C190,"RTG_SP")</f>
        <v>BB</v>
      </c>
    </row>
    <row r="191" spans="1:8" x14ac:dyDescent="0.25">
      <c r="A191" s="1" t="s">
        <v>133</v>
      </c>
      <c r="B191" s="1" t="s">
        <v>1260</v>
      </c>
      <c r="C191" s="1" t="s">
        <v>1261</v>
      </c>
      <c r="D191" s="1" t="s">
        <v>1262</v>
      </c>
      <c r="E191">
        <f>_xll.BDP($C191,"DUR_ADJ_MID")</f>
        <v>0.59826346930106911</v>
      </c>
      <c r="F191">
        <f>_xll.BDP($C191,"OAS_SPREAD_DUR_MID")</f>
        <v>0.92344915658374838</v>
      </c>
      <c r="G191" t="str">
        <f>_xll.BDP($C191,"MATURITY")</f>
        <v>2/15/2030</v>
      </c>
      <c r="H191" t="str">
        <f>_xll.BDP($C191,"RTG_SP")</f>
        <v>BB-</v>
      </c>
    </row>
    <row r="192" spans="1:8" x14ac:dyDescent="0.25">
      <c r="A192" s="1" t="s">
        <v>133</v>
      </c>
      <c r="B192" s="1" t="s">
        <v>1263</v>
      </c>
      <c r="C192" s="1" t="s">
        <v>1264</v>
      </c>
      <c r="D192" s="1" t="s">
        <v>1265</v>
      </c>
      <c r="E192">
        <f>_xll.BDP($C192,"DUR_ADJ_MID")</f>
        <v>3.1350273350817202</v>
      </c>
      <c r="F192" t="str">
        <f>_xll.BDP($C192,"OAS_SPREAD_DUR_MID")</f>
        <v>#N/A Field Not Applicable</v>
      </c>
      <c r="G192" t="str">
        <f>_xll.BDP($C192,"MATURITY")</f>
        <v>4/15/2055</v>
      </c>
      <c r="H192" t="str">
        <f>_xll.BDP($C192,"RTG_SP")</f>
        <v>BB</v>
      </c>
    </row>
    <row r="193" spans="1:8" x14ac:dyDescent="0.25">
      <c r="A193" s="1" t="s">
        <v>133</v>
      </c>
      <c r="B193" s="1" t="s">
        <v>1266</v>
      </c>
      <c r="C193" s="1" t="s">
        <v>1267</v>
      </c>
      <c r="D193" s="1" t="s">
        <v>1268</v>
      </c>
      <c r="E193">
        <f>_xll.BDP($C193,"DUR_ADJ_MID")</f>
        <v>0.61211537661598681</v>
      </c>
      <c r="F193">
        <f>_xll.BDP($C193,"OAS_SPREAD_DUR_MID")</f>
        <v>0.61001961938999261</v>
      </c>
      <c r="G193" t="str">
        <f>_xll.BDP($C193,"MATURITY")</f>
        <v>2/15/2027</v>
      </c>
      <c r="H193" t="str">
        <f>_xll.BDP($C193,"RTG_SP")</f>
        <v>BBB-</v>
      </c>
    </row>
    <row r="194" spans="1:8" x14ac:dyDescent="0.25">
      <c r="A194" s="1" t="s">
        <v>133</v>
      </c>
      <c r="B194" s="1" t="s">
        <v>1269</v>
      </c>
      <c r="C194" s="1" t="s">
        <v>1270</v>
      </c>
      <c r="D194" s="1" t="s">
        <v>1271</v>
      </c>
      <c r="E194">
        <f>_xll.BDP($C194,"DUR_ADJ_MID")</f>
        <v>2.3493597092577367</v>
      </c>
      <c r="F194">
        <f>_xll.BDP($C194,"OAS_SPREAD_DUR_MID")</f>
        <v>2.604197267626887</v>
      </c>
      <c r="G194" t="str">
        <f>_xll.BDP($C194,"MATURITY")</f>
        <v>9/30/2030</v>
      </c>
      <c r="H194" t="str">
        <f>_xll.BDP($C194,"RTG_SP")</f>
        <v>B+</v>
      </c>
    </row>
    <row r="195" spans="1:8" x14ac:dyDescent="0.25">
      <c r="A195" s="1" t="s">
        <v>133</v>
      </c>
      <c r="B195" s="1" t="s">
        <v>1272</v>
      </c>
      <c r="C195" s="1" t="s">
        <v>1273</v>
      </c>
      <c r="D195" s="1" t="s">
        <v>1274</v>
      </c>
      <c r="E195">
        <f>_xll.BDP($C195,"DUR_ADJ_MID")</f>
        <v>7.8424261772388371E-2</v>
      </c>
      <c r="F195">
        <f>_xll.BDP($C195,"OAS_SPREAD_DUR_MID")</f>
        <v>7.7184158478923778E-2</v>
      </c>
      <c r="G195" t="str">
        <f>_xll.BDP($C195,"MATURITY")</f>
        <v>1/15/2027</v>
      </c>
      <c r="H195" t="str">
        <f>_xll.BDP($C195,"RTG_SP")</f>
        <v>BB</v>
      </c>
    </row>
    <row r="196" spans="1:8" x14ac:dyDescent="0.25">
      <c r="A196" s="1" t="s">
        <v>133</v>
      </c>
      <c r="B196" s="1" t="s">
        <v>1275</v>
      </c>
      <c r="C196" s="1" t="s">
        <v>1276</v>
      </c>
      <c r="D196" s="1" t="s">
        <v>1277</v>
      </c>
      <c r="E196">
        <f>_xll.BDP($C196,"DUR_ADJ_MID")</f>
        <v>3.7250842095640508</v>
      </c>
      <c r="F196">
        <f>_xll.BDP($C196,"OAS_SPREAD_DUR_MID")</f>
        <v>3.274186356737264</v>
      </c>
      <c r="G196" t="str">
        <f>_xll.BDP($C196,"MATURITY")</f>
        <v>3/1/2031</v>
      </c>
      <c r="H196" t="str">
        <f>_xll.BDP($C196,"RTG_SP")</f>
        <v>(P)BB+</v>
      </c>
    </row>
    <row r="197" spans="1:8" x14ac:dyDescent="0.25">
      <c r="A197" s="1" t="s">
        <v>133</v>
      </c>
      <c r="B197" s="1" t="s">
        <v>1278</v>
      </c>
      <c r="C197" s="1" t="s">
        <v>1279</v>
      </c>
      <c r="D197" s="1" t="s">
        <v>1280</v>
      </c>
      <c r="E197">
        <f>_xll.BDP($C197,"DUR_ADJ_MID")</f>
        <v>1.7508547603907163</v>
      </c>
      <c r="F197">
        <f>_xll.BDP($C197,"OAS_SPREAD_DUR_MID")</f>
        <v>1.7807457443052681</v>
      </c>
      <c r="G197" t="str">
        <f>_xll.BDP($C197,"MATURITY")</f>
        <v>6/15/2029</v>
      </c>
      <c r="H197" t="str">
        <f>_xll.BDP($C197,"RTG_SP")</f>
        <v>B</v>
      </c>
    </row>
    <row r="198" spans="1:8" x14ac:dyDescent="0.25">
      <c r="A198" s="1" t="s">
        <v>133</v>
      </c>
      <c r="B198" s="1" t="s">
        <v>1281</v>
      </c>
      <c r="C198" s="1" t="s">
        <v>1282</v>
      </c>
      <c r="D198" s="1" t="s">
        <v>1283</v>
      </c>
      <c r="E198">
        <f>_xll.BDP($C198,"DUR_ADJ_MID")</f>
        <v>1.6497587283033688</v>
      </c>
      <c r="F198">
        <f>_xll.BDP($C198,"OAS_SPREAD_DUR_MID")</f>
        <v>1.2709967927790524</v>
      </c>
      <c r="G198" t="str">
        <f>_xll.BDP($C198,"MATURITY")</f>
        <v>4/1/2028</v>
      </c>
      <c r="H198" t="str">
        <f>_xll.BDP($C198,"RTG_SP")</f>
        <v>BB-</v>
      </c>
    </row>
    <row r="199" spans="1:8" x14ac:dyDescent="0.25">
      <c r="A199" s="1" t="s">
        <v>133</v>
      </c>
      <c r="B199" s="1" t="s">
        <v>1284</v>
      </c>
      <c r="C199" s="1" t="s">
        <v>1285</v>
      </c>
      <c r="D199" s="1" t="s">
        <v>1286</v>
      </c>
      <c r="E199">
        <f>_xll.BDP($C199,"DUR_ADJ_MID")</f>
        <v>0.378548568470429</v>
      </c>
      <c r="F199">
        <f>_xll.BDP($C199,"OAS_SPREAD_DUR_MID")</f>
        <v>0.53581383735056887</v>
      </c>
      <c r="G199" t="str">
        <f>_xll.BDP($C199,"MATURITY")</f>
        <v>11/15/2029</v>
      </c>
      <c r="H199" t="str">
        <f>_xll.BDP($C199,"RTG_SP")</f>
        <v>BB-</v>
      </c>
    </row>
    <row r="200" spans="1:8" x14ac:dyDescent="0.25">
      <c r="A200" s="1" t="s">
        <v>133</v>
      </c>
      <c r="B200" s="1" t="s">
        <v>1287</v>
      </c>
      <c r="C200" s="1" t="s">
        <v>1288</v>
      </c>
      <c r="D200" s="1" t="s">
        <v>1289</v>
      </c>
      <c r="E200">
        <f>_xll.BDP($C200,"DUR_ADJ_MID")</f>
        <v>1.5196122035704076</v>
      </c>
      <c r="F200">
        <f>_xll.BDP($C200,"OAS_SPREAD_DUR_MID")</f>
        <v>1.5012363487966556</v>
      </c>
      <c r="G200" t="str">
        <f>_xll.BDP($C200,"MATURITY")</f>
        <v>2/15/2028</v>
      </c>
      <c r="H200" t="str">
        <f>_xll.BDP($C200,"RTG_SP")</f>
        <v>B-</v>
      </c>
    </row>
    <row r="201" spans="1:8" x14ac:dyDescent="0.25">
      <c r="A201" s="1" t="s">
        <v>133</v>
      </c>
      <c r="B201" s="1" t="s">
        <v>1290</v>
      </c>
      <c r="C201" s="1" t="s">
        <v>1291</v>
      </c>
      <c r="D201" s="1" t="s">
        <v>1292</v>
      </c>
      <c r="E201">
        <f>_xll.BDP($C201,"DUR_ADJ_MID")</f>
        <v>1.1717109605296745</v>
      </c>
      <c r="F201">
        <f>_xll.BDP($C201,"OAS_SPREAD_DUR_MID")</f>
        <v>1.2259163636948491</v>
      </c>
      <c r="G201" t="str">
        <f>_xll.BDP($C201,"MATURITY")</f>
        <v>9/30/2027</v>
      </c>
      <c r="H201" t="str">
        <f>_xll.BDP($C201,"RTG_SP")</f>
        <v>B</v>
      </c>
    </row>
    <row r="202" spans="1:8" x14ac:dyDescent="0.25">
      <c r="A202" s="1" t="s">
        <v>133</v>
      </c>
      <c r="B202" s="1" t="s">
        <v>1293</v>
      </c>
      <c r="C202" s="1" t="s">
        <v>1294</v>
      </c>
      <c r="D202" s="1" t="s">
        <v>1295</v>
      </c>
      <c r="E202">
        <f>_xll.BDP($C202,"DUR_ADJ_MID")</f>
        <v>1.0338407550420534</v>
      </c>
      <c r="F202">
        <f>_xll.BDP($C202,"OAS_SPREAD_DUR_MID")</f>
        <v>0.73195627229806381</v>
      </c>
      <c r="G202" t="str">
        <f>_xll.BDP($C202,"MATURITY")</f>
        <v>8/1/2027</v>
      </c>
      <c r="H202" t="str">
        <f>_xll.BDP($C202,"RTG_SP")</f>
        <v>BB+</v>
      </c>
    </row>
    <row r="203" spans="1:8" x14ac:dyDescent="0.25">
      <c r="A203" s="1" t="s">
        <v>133</v>
      </c>
      <c r="B203" s="1" t="s">
        <v>1296</v>
      </c>
      <c r="C203" s="1" t="s">
        <v>1297</v>
      </c>
      <c r="D203" s="1" t="s">
        <v>1298</v>
      </c>
      <c r="E203">
        <f>_xll.BDP($C203,"DUR_ADJ_MID")</f>
        <v>1.7222367172736825</v>
      </c>
      <c r="F203">
        <f>_xll.BDP($C203,"OAS_SPREAD_DUR_MID")</f>
        <v>2.4711373872801992</v>
      </c>
      <c r="G203" t="str">
        <f>_xll.BDP($C203,"MATURITY")</f>
        <v>5/15/2031</v>
      </c>
      <c r="H203" t="str">
        <f>_xll.BDP($C203,"RTG_SP")</f>
        <v>B</v>
      </c>
    </row>
    <row r="204" spans="1:8" x14ac:dyDescent="0.25">
      <c r="A204" s="1" t="s">
        <v>133</v>
      </c>
      <c r="B204" s="1" t="s">
        <v>1299</v>
      </c>
      <c r="C204" s="1" t="s">
        <v>1300</v>
      </c>
      <c r="D204" s="1" t="s">
        <v>1301</v>
      </c>
      <c r="E204">
        <f>_xll.BDP($C204,"DUR_ADJ_MID")</f>
        <v>3.3791577039024996</v>
      </c>
      <c r="F204">
        <f>_xll.BDP($C204,"OAS_SPREAD_DUR_MID")</f>
        <v>3.3109398486063686</v>
      </c>
      <c r="G204" t="str">
        <f>_xll.BDP($C204,"MATURITY")</f>
        <v>5/15/2031</v>
      </c>
      <c r="H204" t="str">
        <f>_xll.BDP($C204,"RTG_SP")</f>
        <v>BB-</v>
      </c>
    </row>
    <row r="205" spans="1:8" x14ac:dyDescent="0.25">
      <c r="A205" s="1" t="s">
        <v>133</v>
      </c>
      <c r="B205" s="1" t="s">
        <v>1302</v>
      </c>
      <c r="C205" s="1" t="s">
        <v>1303</v>
      </c>
      <c r="D205" s="1" t="s">
        <v>1304</v>
      </c>
      <c r="E205">
        <f>_xll.BDP($C205,"DUR_ADJ_MID")</f>
        <v>3.8741178587612866</v>
      </c>
      <c r="F205">
        <f>_xll.BDP($C205,"OAS_SPREAD_DUR_MID")</f>
        <v>3.5429654762583169</v>
      </c>
      <c r="G205" t="str">
        <f>_xll.BDP($C205,"MATURITY")</f>
        <v>4/15/2031</v>
      </c>
      <c r="H205" t="str">
        <f>_xll.BDP($C205,"RTG_SP")</f>
        <v>B-</v>
      </c>
    </row>
    <row r="206" spans="1:8" x14ac:dyDescent="0.25">
      <c r="A206" s="1" t="s">
        <v>133</v>
      </c>
      <c r="B206" s="1" t="s">
        <v>1305</v>
      </c>
      <c r="C206" s="1" t="s">
        <v>1306</v>
      </c>
      <c r="D206" s="1" t="s">
        <v>1307</v>
      </c>
      <c r="E206">
        <f>_xll.BDP($C206,"DUR_ADJ_MID")</f>
        <v>1.2771648318320223</v>
      </c>
      <c r="F206">
        <f>_xll.BDP($C206,"OAS_SPREAD_DUR_MID")</f>
        <v>1.119585410791212</v>
      </c>
      <c r="G206" t="str">
        <f>_xll.BDP($C206,"MATURITY")</f>
        <v>11/1/2027</v>
      </c>
      <c r="H206" t="str">
        <f>_xll.BDP($C206,"RTG_SP")</f>
        <v>BB+</v>
      </c>
    </row>
    <row r="207" spans="1:8" x14ac:dyDescent="0.25">
      <c r="A207" s="1" t="s">
        <v>133</v>
      </c>
      <c r="B207" s="1" t="s">
        <v>1308</v>
      </c>
      <c r="C207" s="1" t="s">
        <v>1309</v>
      </c>
      <c r="D207" s="1" t="s">
        <v>1310</v>
      </c>
      <c r="E207">
        <f>_xll.BDP($C207,"DUR_ADJ_MID")</f>
        <v>3.0289372848255396</v>
      </c>
      <c r="F207">
        <f>_xll.BDP($C207,"OAS_SPREAD_DUR_MID")</f>
        <v>2.8661479260917235</v>
      </c>
      <c r="G207" t="str">
        <f>_xll.BDP($C207,"MATURITY")</f>
        <v>11/15/2029</v>
      </c>
      <c r="H207" t="str">
        <f>_xll.BDP($C207,"RTG_SP")</f>
        <v>BB</v>
      </c>
    </row>
    <row r="208" spans="1:8" x14ac:dyDescent="0.25">
      <c r="A208" s="1" t="s">
        <v>133</v>
      </c>
      <c r="B208" s="1" t="s">
        <v>1311</v>
      </c>
      <c r="C208" s="1" t="s">
        <v>1312</v>
      </c>
      <c r="D208" s="1" t="s">
        <v>1199</v>
      </c>
      <c r="E208">
        <f>_xll.BDP($C208,"DUR_ADJ_MID")</f>
        <v>2.7846767035669235</v>
      </c>
      <c r="F208">
        <f>_xll.BDP($C208,"OAS_SPREAD_DUR_MID")</f>
        <v>2.8920551663362573</v>
      </c>
      <c r="G208" t="str">
        <f>_xll.BDP($C208,"MATURITY")</f>
        <v>8/15/2030</v>
      </c>
      <c r="H208" t="str">
        <f>_xll.BDP($C208,"RTG_SP")</f>
        <v>BB+</v>
      </c>
    </row>
    <row r="209" spans="1:8" x14ac:dyDescent="0.25">
      <c r="A209" s="1" t="s">
        <v>133</v>
      </c>
      <c r="B209" s="1" t="s">
        <v>1313</v>
      </c>
      <c r="C209" s="1" t="s">
        <v>1314</v>
      </c>
      <c r="D209" s="1" t="s">
        <v>1315</v>
      </c>
      <c r="E209">
        <f>_xll.BDP($C209,"DUR_ADJ_MID")</f>
        <v>0.34108065933079595</v>
      </c>
      <c r="F209">
        <f>_xll.BDP($C209,"OAS_SPREAD_DUR_MID")</f>
        <v>0.58728773059761041</v>
      </c>
      <c r="G209" t="str">
        <f>_xll.BDP($C209,"MATURITY")</f>
        <v>11/1/2028</v>
      </c>
      <c r="H209" t="str">
        <f>_xll.BDP($C209,"RTG_SP")</f>
        <v>B+</v>
      </c>
    </row>
    <row r="210" spans="1:8" x14ac:dyDescent="0.25">
      <c r="A210" s="1" t="s">
        <v>133</v>
      </c>
      <c r="B210" s="1" t="s">
        <v>1316</v>
      </c>
      <c r="C210" s="1" t="s">
        <v>1317</v>
      </c>
      <c r="D210" s="1" t="s">
        <v>1318</v>
      </c>
      <c r="E210">
        <f>_xll.BDP($C210,"DUR_ADJ_MID")</f>
        <v>3.5697076337320897</v>
      </c>
      <c r="F210">
        <f>_xll.BDP($C210,"OAS_SPREAD_DUR_MID")</f>
        <v>3.3928704540769048</v>
      </c>
      <c r="G210" t="str">
        <f>_xll.BDP($C210,"MATURITY")</f>
        <v>7/15/2030</v>
      </c>
      <c r="H210" t="str">
        <f>_xll.BDP($C210,"RTG_SP")</f>
        <v>BB+</v>
      </c>
    </row>
    <row r="211" spans="1:8" x14ac:dyDescent="0.25">
      <c r="A211" s="1" t="s">
        <v>133</v>
      </c>
      <c r="B211" s="1" t="s">
        <v>1319</v>
      </c>
      <c r="C211" s="1" t="s">
        <v>1320</v>
      </c>
      <c r="D211" s="1" t="s">
        <v>1321</v>
      </c>
      <c r="E211">
        <f>_xll.BDP($C211,"DUR_ADJ_MID")</f>
        <v>2.0413436472449673</v>
      </c>
      <c r="F211">
        <f>_xll.BDP($C211,"OAS_SPREAD_DUR_MID")</f>
        <v>2.0990302454022243</v>
      </c>
      <c r="G211" t="str">
        <f>_xll.BDP($C211,"MATURITY")</f>
        <v>4/1/2029</v>
      </c>
      <c r="H211" t="str">
        <f>_xll.BDP($C211,"RTG_SP")</f>
        <v>BB-</v>
      </c>
    </row>
    <row r="212" spans="1:8" x14ac:dyDescent="0.25">
      <c r="A212" s="1" t="s">
        <v>133</v>
      </c>
      <c r="B212" s="1" t="s">
        <v>1322</v>
      </c>
      <c r="C212" s="1" t="s">
        <v>1323</v>
      </c>
      <c r="D212" s="1" t="s">
        <v>1324</v>
      </c>
      <c r="E212">
        <f>_xll.BDP($C212,"DUR_ADJ_MID")</f>
        <v>2.9954340706235145</v>
      </c>
      <c r="F212">
        <f>_xll.BDP($C212,"OAS_SPREAD_DUR_MID")</f>
        <v>2.5529637596202686</v>
      </c>
      <c r="G212" t="str">
        <f>_xll.BDP($C212,"MATURITY")</f>
        <v>12/15/2030</v>
      </c>
      <c r="H212" t="str">
        <f>_xll.BDP($C212,"RTG_SP")</f>
        <v>#N/A N/A</v>
      </c>
    </row>
    <row r="213" spans="1:8" x14ac:dyDescent="0.25">
      <c r="A213" s="1" t="s">
        <v>133</v>
      </c>
      <c r="B213" s="1" t="s">
        <v>1325</v>
      </c>
      <c r="C213" s="1" t="s">
        <v>1326</v>
      </c>
      <c r="D213" s="1" t="s">
        <v>1327</v>
      </c>
      <c r="E213">
        <f>_xll.BDP($C213,"DUR_ADJ_MID")</f>
        <v>2.4788043839281317</v>
      </c>
      <c r="F213">
        <f>_xll.BDP($C213,"OAS_SPREAD_DUR_MID")</f>
        <v>2.0674511032978851</v>
      </c>
      <c r="G213" t="str">
        <f>_xll.BDP($C213,"MATURITY")</f>
        <v>5/15/2029</v>
      </c>
      <c r="H213" t="str">
        <f>_xll.BDP($C213,"RTG_SP")</f>
        <v>NR</v>
      </c>
    </row>
    <row r="214" spans="1:8" x14ac:dyDescent="0.25">
      <c r="A214" s="1" t="s">
        <v>133</v>
      </c>
      <c r="B214" s="1" t="s">
        <v>1328</v>
      </c>
      <c r="C214" s="1" t="s">
        <v>1329</v>
      </c>
      <c r="D214" s="1" t="s">
        <v>1330</v>
      </c>
      <c r="E214">
        <f>_xll.BDP($C214,"DUR_ADJ_MID")</f>
        <v>2.3496794522457161</v>
      </c>
      <c r="F214">
        <f>_xll.BDP($C214,"OAS_SPREAD_DUR_MID")</f>
        <v>1.4481258203829377</v>
      </c>
      <c r="G214" t="str">
        <f>_xll.BDP($C214,"MATURITY")</f>
        <v>3/1/2031</v>
      </c>
      <c r="H214" t="str">
        <f>_xll.BDP($C214,"RTG_SP")</f>
        <v>BB</v>
      </c>
    </row>
    <row r="215" spans="1:8" x14ac:dyDescent="0.25">
      <c r="A215" s="1" t="s">
        <v>133</v>
      </c>
      <c r="B215" s="1" t="s">
        <v>1331</v>
      </c>
      <c r="C215" s="1" t="s">
        <v>1332</v>
      </c>
      <c r="D215" s="1" t="s">
        <v>1333</v>
      </c>
      <c r="E215">
        <f>_xll.BDP($C215,"DUR_ADJ_MID")</f>
        <v>1.8512489444106388</v>
      </c>
      <c r="F215">
        <f>_xll.BDP($C215,"OAS_SPREAD_DUR_MID")</f>
        <v>0.91567593249419843</v>
      </c>
      <c r="G215" t="str">
        <f>_xll.BDP($C215,"MATURITY")</f>
        <v>10/31/2029</v>
      </c>
      <c r="H215" t="str">
        <f>_xll.BDP($C215,"RTG_SP")</f>
        <v>B+</v>
      </c>
    </row>
    <row r="216" spans="1:8" x14ac:dyDescent="0.25">
      <c r="A216" s="1" t="s">
        <v>133</v>
      </c>
      <c r="B216" s="1" t="s">
        <v>1334</v>
      </c>
      <c r="C216" s="1" t="s">
        <v>1335</v>
      </c>
      <c r="D216" s="1" t="s">
        <v>1336</v>
      </c>
      <c r="E216">
        <f>_xll.BDP($C216,"DUR_ADJ_MID")</f>
        <v>1.1403753623634711</v>
      </c>
      <c r="F216">
        <f>_xll.BDP($C216,"OAS_SPREAD_DUR_MID")</f>
        <v>0.56606775876938786</v>
      </c>
      <c r="G216" t="str">
        <f>_xll.BDP($C216,"MATURITY")</f>
        <v>9/15/2028</v>
      </c>
      <c r="H216" t="str">
        <f>_xll.BDP($C216,"RTG_SP")</f>
        <v>BB+</v>
      </c>
    </row>
    <row r="217" spans="1:8" x14ac:dyDescent="0.25">
      <c r="A217" s="1" t="s">
        <v>133</v>
      </c>
      <c r="B217" s="1" t="s">
        <v>1337</v>
      </c>
      <c r="C217" s="1" t="s">
        <v>1338</v>
      </c>
      <c r="D217" s="1" t="s">
        <v>1339</v>
      </c>
      <c r="E217">
        <f>_xll.BDP($C217,"DUR_ADJ_MID")</f>
        <v>2.2706734380734037</v>
      </c>
      <c r="F217">
        <f>_xll.BDP($C217,"OAS_SPREAD_DUR_MID")</f>
        <v>2.3581735886526687</v>
      </c>
      <c r="G217" t="str">
        <f>_xll.BDP($C217,"MATURITY")</f>
        <v>3/19/2029</v>
      </c>
      <c r="H217" t="str">
        <f>_xll.BDP($C217,"RTG_SP")</f>
        <v>BBB-</v>
      </c>
    </row>
    <row r="218" spans="1:8" x14ac:dyDescent="0.25">
      <c r="A218" s="1" t="s">
        <v>133</v>
      </c>
      <c r="B218" s="1" t="s">
        <v>1340</v>
      </c>
      <c r="C218" s="1" t="s">
        <v>1341</v>
      </c>
      <c r="D218" s="1" t="s">
        <v>1342</v>
      </c>
      <c r="E218">
        <f>_xll.BDP($C218,"DUR_ADJ_MID")</f>
        <v>2.8114873644158087</v>
      </c>
      <c r="F218">
        <f>_xll.BDP($C218,"OAS_SPREAD_DUR_MID")</f>
        <v>2.6957805045676588</v>
      </c>
      <c r="G218" t="str">
        <f>_xll.BDP($C218,"MATURITY")</f>
        <v>2/15/2031</v>
      </c>
      <c r="H218" t="str">
        <f>_xll.BDP($C218,"RTG_SP")</f>
        <v>CCC</v>
      </c>
    </row>
    <row r="219" spans="1:8" x14ac:dyDescent="0.25">
      <c r="A219" s="1" t="s">
        <v>133</v>
      </c>
      <c r="B219" s="1" t="s">
        <v>1343</v>
      </c>
      <c r="C219" s="1" t="s">
        <v>1344</v>
      </c>
      <c r="D219" s="1" t="s">
        <v>1345</v>
      </c>
      <c r="E219">
        <f>_xll.BDP($C219,"DUR_ADJ_MID")</f>
        <v>0.42116444564186617</v>
      </c>
      <c r="F219">
        <f>_xll.BDP($C219,"OAS_SPREAD_DUR_MID")</f>
        <v>0.58422518808832757</v>
      </c>
      <c r="G219" t="str">
        <f>_xll.BDP($C219,"MATURITY")</f>
        <v>6/1/2027</v>
      </c>
      <c r="H219" t="str">
        <f>_xll.BDP($C219,"RTG_SP")</f>
        <v>BB *</v>
      </c>
    </row>
    <row r="220" spans="1:8" x14ac:dyDescent="0.25">
      <c r="A220" s="1" t="s">
        <v>133</v>
      </c>
      <c r="B220" s="1" t="s">
        <v>1346</v>
      </c>
      <c r="C220" s="1" t="s">
        <v>1347</v>
      </c>
      <c r="D220" s="1" t="s">
        <v>1348</v>
      </c>
      <c r="E220">
        <f>_xll.BDP($C220,"DUR_ADJ_MID")</f>
        <v>3.3516137781686508</v>
      </c>
      <c r="F220">
        <f>_xll.BDP($C220,"OAS_SPREAD_DUR_MID")</f>
        <v>3.4466299818756481</v>
      </c>
      <c r="G220" t="str">
        <f>_xll.BDP($C220,"MATURITY")</f>
        <v>5/1/2031</v>
      </c>
      <c r="H220" t="str">
        <f>_xll.BDP($C220,"RTG_SP")</f>
        <v>B+</v>
      </c>
    </row>
    <row r="221" spans="1:8" x14ac:dyDescent="0.25">
      <c r="A221" s="1" t="s">
        <v>133</v>
      </c>
      <c r="B221" s="1" t="s">
        <v>1349</v>
      </c>
      <c r="C221" s="1" t="s">
        <v>1350</v>
      </c>
      <c r="D221" s="1" t="s">
        <v>1351</v>
      </c>
      <c r="E221">
        <f>_xll.BDP($C221,"DUR_ADJ_MID")</f>
        <v>2.5857521760563018</v>
      </c>
      <c r="F221">
        <f>_xll.BDP($C221,"OAS_SPREAD_DUR_MID")</f>
        <v>2.5007196854396456</v>
      </c>
      <c r="G221" t="str">
        <f>_xll.BDP($C221,"MATURITY")</f>
        <v>4/15/2029</v>
      </c>
      <c r="H221" t="str">
        <f>_xll.BDP($C221,"RTG_SP")</f>
        <v>BB</v>
      </c>
    </row>
    <row r="222" spans="1:8" x14ac:dyDescent="0.25">
      <c r="A222" s="1" t="s">
        <v>133</v>
      </c>
      <c r="B222" s="1" t="s">
        <v>1352</v>
      </c>
      <c r="C222" s="1" t="s">
        <v>1353</v>
      </c>
      <c r="D222" s="1" t="s">
        <v>1354</v>
      </c>
      <c r="E222">
        <f>_xll.BDP($C222,"DUR_ADJ_MID")</f>
        <v>3.8923234758144833E-2</v>
      </c>
      <c r="F222">
        <f>_xll.BDP($C222,"OAS_SPREAD_DUR_MID")</f>
        <v>3.8690086076221403E-2</v>
      </c>
      <c r="G222" t="str">
        <f>_xll.BDP($C222,"MATURITY")</f>
        <v>10/1/2028</v>
      </c>
      <c r="H222" t="str">
        <f>_xll.BDP($C222,"RTG_SP")</f>
        <v>B</v>
      </c>
    </row>
    <row r="223" spans="1:8" x14ac:dyDescent="0.25">
      <c r="A223" s="1" t="s">
        <v>133</v>
      </c>
      <c r="B223" s="1" t="s">
        <v>1355</v>
      </c>
      <c r="C223" s="1" t="s">
        <v>1356</v>
      </c>
      <c r="D223" s="1" t="s">
        <v>1357</v>
      </c>
      <c r="E223">
        <f>_xll.BDP($C223,"DUR_ADJ_MID")</f>
        <v>0.36996608857251506</v>
      </c>
      <c r="F223">
        <f>_xll.BDP($C223,"OAS_SPREAD_DUR_MID")</f>
        <v>0.43829247417946271</v>
      </c>
      <c r="G223" t="str">
        <f>_xll.BDP($C223,"MATURITY")</f>
        <v>11/17/2028</v>
      </c>
      <c r="H223" t="str">
        <f>_xll.BDP($C223,"RTG_SP")</f>
        <v>B-</v>
      </c>
    </row>
    <row r="224" spans="1:8" x14ac:dyDescent="0.25">
      <c r="A224" s="1" t="s">
        <v>133</v>
      </c>
      <c r="B224" s="1" t="s">
        <v>1358</v>
      </c>
      <c r="C224" s="1" t="s">
        <v>1359</v>
      </c>
      <c r="D224" s="1" t="s">
        <v>1360</v>
      </c>
      <c r="E224">
        <f>_xll.BDP($C224,"DUR_ADJ_MID")</f>
        <v>0.96166144010142429</v>
      </c>
      <c r="F224">
        <f>_xll.BDP($C224,"OAS_SPREAD_DUR_MID")</f>
        <v>1.4796556150005775</v>
      </c>
      <c r="G224" t="str">
        <f>_xll.BDP($C224,"MATURITY")</f>
        <v>7/15/2030</v>
      </c>
      <c r="H224" t="str">
        <f>_xll.BDP($C224,"RTG_SP")</f>
        <v>BB-</v>
      </c>
    </row>
    <row r="225" spans="1:8" x14ac:dyDescent="0.25">
      <c r="A225" s="1" t="s">
        <v>133</v>
      </c>
      <c r="B225" s="1" t="s">
        <v>1361</v>
      </c>
      <c r="C225" s="1" t="s">
        <v>1362</v>
      </c>
      <c r="D225" s="1" t="s">
        <v>1363</v>
      </c>
      <c r="E225">
        <f>_xll.BDP($C225,"DUR_ADJ_MID")</f>
        <v>1.5495069019077863</v>
      </c>
      <c r="F225">
        <f>_xll.BDP($C225,"OAS_SPREAD_DUR_MID")</f>
        <v>1.5340561626495353</v>
      </c>
      <c r="G225" t="str">
        <f>_xll.BDP($C225,"MATURITY")</f>
        <v>3/1/2029</v>
      </c>
      <c r="H225" t="str">
        <f>_xll.BDP($C225,"RTG_SP")</f>
        <v>BB-</v>
      </c>
    </row>
    <row r="226" spans="1:8" x14ac:dyDescent="0.25">
      <c r="A226" s="1" t="s">
        <v>133</v>
      </c>
      <c r="B226" s="1" t="s">
        <v>1364</v>
      </c>
      <c r="C226" s="1" t="s">
        <v>1365</v>
      </c>
      <c r="D226" s="1" t="s">
        <v>1366</v>
      </c>
      <c r="E226">
        <f>_xll.BDP($C226,"DUR_ADJ_MID")</f>
        <v>1.7176103662848783</v>
      </c>
      <c r="F226">
        <f>_xll.BDP($C226,"OAS_SPREAD_DUR_MID")</f>
        <v>1.4796324568354626</v>
      </c>
      <c r="G226" t="str">
        <f>_xll.BDP($C226,"MATURITY")</f>
        <v>5/15/2029</v>
      </c>
      <c r="H226" t="str">
        <f>_xll.BDP($C226,"RTG_SP")</f>
        <v>B</v>
      </c>
    </row>
    <row r="227" spans="1:8" x14ac:dyDescent="0.25">
      <c r="A227" s="1" t="s">
        <v>133</v>
      </c>
      <c r="B227" s="1" t="s">
        <v>1367</v>
      </c>
      <c r="C227" s="1" t="s">
        <v>1368</v>
      </c>
      <c r="D227" s="1" t="s">
        <v>1369</v>
      </c>
      <c r="E227">
        <f>_xll.BDP($C227,"DUR_ADJ_MID")</f>
        <v>3.1351164305768351</v>
      </c>
      <c r="F227">
        <f>_xll.BDP($C227,"OAS_SPREAD_DUR_MID")</f>
        <v>2.2523677391636365</v>
      </c>
      <c r="G227" t="str">
        <f>_xll.BDP($C227,"MATURITY")</f>
        <v>12/15/2029</v>
      </c>
      <c r="H227" t="str">
        <f>_xll.BDP($C227,"RTG_SP")</f>
        <v>BB-</v>
      </c>
    </row>
    <row r="228" spans="1:8" x14ac:dyDescent="0.25">
      <c r="A228" s="1" t="s">
        <v>133</v>
      </c>
      <c r="B228" s="1" t="s">
        <v>1370</v>
      </c>
      <c r="C228" s="1" t="s">
        <v>1371</v>
      </c>
      <c r="D228" s="1" t="s">
        <v>1372</v>
      </c>
      <c r="E228">
        <f>_xll.BDP($C228,"DUR_ADJ_MID")</f>
        <v>3.7557976292116604</v>
      </c>
      <c r="F228">
        <f>_xll.BDP($C228,"OAS_SPREAD_DUR_MID")</f>
        <v>3.1986257407008232</v>
      </c>
      <c r="G228" t="str">
        <f>_xll.BDP($C228,"MATURITY")</f>
        <v>2/1/2031</v>
      </c>
      <c r="H228" t="str">
        <f>_xll.BDP($C228,"RTG_SP")</f>
        <v>B</v>
      </c>
    </row>
    <row r="229" spans="1:8" x14ac:dyDescent="0.25">
      <c r="A229" s="1" t="s">
        <v>133</v>
      </c>
      <c r="B229" s="1" t="s">
        <v>1373</v>
      </c>
      <c r="C229" s="1" t="s">
        <v>1374</v>
      </c>
      <c r="D229" s="1" t="s">
        <v>1375</v>
      </c>
      <c r="E229">
        <f>_xll.BDP($C229,"DUR_ADJ_MID")</f>
        <v>2.4350348709020979</v>
      </c>
      <c r="F229">
        <f>_xll.BDP($C229,"OAS_SPREAD_DUR_MID")</f>
        <v>2.3352308550142653</v>
      </c>
      <c r="G229" t="str">
        <f>_xll.BDP($C229,"MATURITY")</f>
        <v>3/1/2029</v>
      </c>
      <c r="H229" t="str">
        <f>_xll.BDP($C229,"RTG_SP")</f>
        <v>BB+</v>
      </c>
    </row>
    <row r="230" spans="1:8" x14ac:dyDescent="0.25">
      <c r="A230" s="1" t="s">
        <v>133</v>
      </c>
      <c r="B230" s="1" t="s">
        <v>1376</v>
      </c>
      <c r="C230" s="1" t="s">
        <v>1377</v>
      </c>
      <c r="D230" s="1" t="s">
        <v>1378</v>
      </c>
      <c r="E230">
        <f>_xll.BDP($C230,"DUR_ADJ_MID")</f>
        <v>0.92523107647880454</v>
      </c>
      <c r="F230">
        <f>_xll.BDP($C230,"OAS_SPREAD_DUR_MID")</f>
        <v>1.6469832216104259</v>
      </c>
      <c r="G230" t="str">
        <f>_xll.BDP($C230,"MATURITY")</f>
        <v>6/30/2030</v>
      </c>
      <c r="H230" t="str">
        <f>_xll.BDP($C230,"RTG_SP")</f>
        <v>B</v>
      </c>
    </row>
    <row r="231" spans="1:8" x14ac:dyDescent="0.25">
      <c r="A231" s="1" t="s">
        <v>133</v>
      </c>
      <c r="B231" s="1" t="s">
        <v>1379</v>
      </c>
      <c r="C231" s="1" t="s">
        <v>1380</v>
      </c>
      <c r="D231" s="1" t="s">
        <v>1381</v>
      </c>
      <c r="E231">
        <f>_xll.BDP($C231,"DUR_ADJ_MID")</f>
        <v>3.5169888823756486</v>
      </c>
      <c r="F231">
        <f>_xll.BDP($C231,"OAS_SPREAD_DUR_MID")</f>
        <v>3.5128210041073116</v>
      </c>
      <c r="G231" t="str">
        <f>_xll.BDP($C231,"MATURITY")</f>
        <v>4/23/2030</v>
      </c>
      <c r="H231" t="str">
        <f>_xll.BDP($C231,"RTG_SP")</f>
        <v>BB</v>
      </c>
    </row>
    <row r="232" spans="1:8" x14ac:dyDescent="0.25">
      <c r="A232" s="1" t="s">
        <v>133</v>
      </c>
      <c r="B232" s="1" t="s">
        <v>1382</v>
      </c>
      <c r="C232" s="1" t="s">
        <v>1383</v>
      </c>
      <c r="D232" s="1" t="s">
        <v>1384</v>
      </c>
      <c r="E232">
        <f>_xll.BDP($C232,"DUR_ADJ_MID")</f>
        <v>0.54975675294652881</v>
      </c>
      <c r="F232">
        <f>_xll.BDP($C232,"OAS_SPREAD_DUR_MID")</f>
        <v>0.48405091832526242</v>
      </c>
      <c r="G232" t="str">
        <f>_xll.BDP($C232,"MATURITY")</f>
        <v>1/31/2027</v>
      </c>
      <c r="H232" t="str">
        <f>_xll.BDP($C232,"RTG_SP")</f>
        <v>CCC+</v>
      </c>
    </row>
    <row r="233" spans="1:8" x14ac:dyDescent="0.25">
      <c r="A233" s="1" t="s">
        <v>133</v>
      </c>
      <c r="B233" s="1" t="s">
        <v>1385</v>
      </c>
      <c r="C233" s="1" t="s">
        <v>1386</v>
      </c>
      <c r="D233" s="1" t="s">
        <v>1387</v>
      </c>
      <c r="E233">
        <f>_xll.BDP($C233,"DUR_ADJ_MID")</f>
        <v>3.6784320744724455</v>
      </c>
      <c r="F233">
        <f>_xll.BDP($C233,"OAS_SPREAD_DUR_MID")</f>
        <v>3.7394850694065087</v>
      </c>
      <c r="G233" t="str">
        <f>_xll.BDP($C233,"MATURITY")</f>
        <v>12/15/2030</v>
      </c>
      <c r="H233" t="str">
        <f>_xll.BDP($C233,"RTG_SP")</f>
        <v>BB+</v>
      </c>
    </row>
    <row r="234" spans="1:8" x14ac:dyDescent="0.25">
      <c r="A234" s="1" t="s">
        <v>133</v>
      </c>
      <c r="B234" s="1" t="s">
        <v>1388</v>
      </c>
      <c r="C234" s="1" t="s">
        <v>1389</v>
      </c>
      <c r="D234" s="1" t="s">
        <v>1390</v>
      </c>
      <c r="E234">
        <f>_xll.BDP($C234,"DUR_ADJ_MID")</f>
        <v>3.3514884565717042</v>
      </c>
      <c r="F234">
        <f>_xll.BDP($C234,"OAS_SPREAD_DUR_MID")</f>
        <v>3.3508489752028976</v>
      </c>
      <c r="G234" t="str">
        <f>_xll.BDP($C234,"MATURITY")</f>
        <v>7/15/2030</v>
      </c>
      <c r="H234" t="str">
        <f>_xll.BDP($C234,"RTG_SP")</f>
        <v>B-</v>
      </c>
    </row>
    <row r="235" spans="1:8" x14ac:dyDescent="0.25">
      <c r="A235" s="1" t="s">
        <v>133</v>
      </c>
      <c r="B235" s="1" t="s">
        <v>1391</v>
      </c>
      <c r="C235" s="1" t="s">
        <v>1392</v>
      </c>
      <c r="D235" s="1" t="s">
        <v>1393</v>
      </c>
      <c r="E235">
        <f>_xll.BDP($C235,"DUR_ADJ_MID")</f>
        <v>3.0569875886603359</v>
      </c>
      <c r="F235">
        <f>_xll.BDP($C235,"OAS_SPREAD_DUR_MID")</f>
        <v>2.9481231135945394</v>
      </c>
      <c r="G235" t="str">
        <f>_xll.BDP($C235,"MATURITY")</f>
        <v>2/1/2030</v>
      </c>
      <c r="H235" t="str">
        <f>_xll.BDP($C235,"RTG_SP")</f>
        <v>B</v>
      </c>
    </row>
    <row r="236" spans="1:8" x14ac:dyDescent="0.25">
      <c r="A236" s="1" t="s">
        <v>133</v>
      </c>
      <c r="B236" s="1" t="s">
        <v>1394</v>
      </c>
      <c r="C236" s="1" t="s">
        <v>1395</v>
      </c>
      <c r="D236" s="1" t="s">
        <v>1396</v>
      </c>
      <c r="E236">
        <f>_xll.BDP($C236,"DUR_ADJ_MID")</f>
        <v>2.9137161226763375</v>
      </c>
      <c r="F236">
        <f>_xll.BDP($C236,"OAS_SPREAD_DUR_MID")</f>
        <v>2.503144294992266</v>
      </c>
      <c r="G236" t="str">
        <f>_xll.BDP($C236,"MATURITY")</f>
        <v>11/1/2030</v>
      </c>
      <c r="H236" t="str">
        <f>_xll.BDP($C236,"RTG_SP")</f>
        <v>B+</v>
      </c>
    </row>
    <row r="237" spans="1:8" x14ac:dyDescent="0.25">
      <c r="A237" s="1" t="s">
        <v>133</v>
      </c>
      <c r="B237" s="1" t="s">
        <v>1397</v>
      </c>
      <c r="C237" s="1" t="s">
        <v>1398</v>
      </c>
      <c r="D237" s="1" t="s">
        <v>1399</v>
      </c>
      <c r="E237">
        <f>_xll.BDP($C237,"DUR_ADJ_MID")</f>
        <v>2.8608292033687066</v>
      </c>
      <c r="F237">
        <f>_xll.BDP($C237,"OAS_SPREAD_DUR_MID")</f>
        <v>2.1065900687472316</v>
      </c>
      <c r="G237" t="str">
        <f>_xll.BDP($C237,"MATURITY")</f>
        <v>10/15/2030</v>
      </c>
      <c r="H237" t="str">
        <f>_xll.BDP($C237,"RTG_SP")</f>
        <v>BB</v>
      </c>
    </row>
    <row r="238" spans="1:8" x14ac:dyDescent="0.25">
      <c r="A238" s="1" t="s">
        <v>133</v>
      </c>
      <c r="B238" s="1" t="s">
        <v>1400</v>
      </c>
      <c r="C238" s="1" t="s">
        <v>1401</v>
      </c>
      <c r="D238" s="1" t="s">
        <v>1402</v>
      </c>
      <c r="E238">
        <f>_xll.BDP($C238,"DUR_ADJ_MID")</f>
        <v>3.6666140968437464</v>
      </c>
      <c r="F238">
        <f>_xll.BDP($C238,"OAS_SPREAD_DUR_MID")</f>
        <v>3.7056979540846502</v>
      </c>
      <c r="G238" t="str">
        <f>_xll.BDP($C238,"MATURITY")</f>
        <v>2/15/2031</v>
      </c>
      <c r="H238" t="str">
        <f>_xll.BDP($C238,"RTG_SP")</f>
        <v>BB-</v>
      </c>
    </row>
    <row r="239" spans="1:8" x14ac:dyDescent="0.25">
      <c r="A239" s="1" t="s">
        <v>139</v>
      </c>
      <c r="B239" s="1" t="s">
        <v>1403</v>
      </c>
      <c r="C239" s="1" t="s">
        <v>1404</v>
      </c>
      <c r="D239" s="1" t="s">
        <v>1405</v>
      </c>
      <c r="E239">
        <f>_xll.BDP($C239,"DUR_ADJ_MID")</f>
        <v>3.4323783847731706</v>
      </c>
      <c r="F239">
        <f>_xll.BDP($C239,"OAS_SPREAD_DUR_MID")</f>
        <v>3.4316305208438616</v>
      </c>
      <c r="G239" t="str">
        <f>_xll.BDP($C239,"MATURITY")</f>
        <v>5/15/2030</v>
      </c>
      <c r="H239" t="str">
        <f>_xll.BDP($C239,"RTG_SP")</f>
        <v>#N/A N/A</v>
      </c>
    </row>
    <row r="240" spans="1:8" x14ac:dyDescent="0.25">
      <c r="A240" s="1" t="s">
        <v>139</v>
      </c>
      <c r="B240" s="1" t="s">
        <v>1406</v>
      </c>
      <c r="C240" s="1" t="s">
        <v>1407</v>
      </c>
      <c r="D240" s="1" t="s">
        <v>1408</v>
      </c>
      <c r="E240">
        <f>_xll.BDP($C240,"DUR_ADJ_MID")</f>
        <v>4.0231419590644792</v>
      </c>
      <c r="F240">
        <f>_xll.BDP($C240,"OAS_SPREAD_DUR_MID")</f>
        <v>4.0247831717328104</v>
      </c>
      <c r="G240" t="str">
        <f>_xll.BDP($C240,"MATURITY")</f>
        <v>2/15/2031</v>
      </c>
      <c r="H240" t="str">
        <f>_xll.BDP($C240,"RTG_SP")</f>
        <v>#N/A N/A</v>
      </c>
    </row>
    <row r="241" spans="1:8" x14ac:dyDescent="0.25">
      <c r="A241" s="1" t="s">
        <v>139</v>
      </c>
      <c r="B241" s="1" t="s">
        <v>1409</v>
      </c>
      <c r="C241" s="1" t="s">
        <v>1410</v>
      </c>
      <c r="D241" s="1" t="s">
        <v>1411</v>
      </c>
      <c r="E241">
        <f>_xll.BDP($C241,"DUR_ADJ_MID")</f>
        <v>2.9886790238303087</v>
      </c>
      <c r="F241">
        <f>_xll.BDP($C241,"OAS_SPREAD_DUR_MID")</f>
        <v>2.9881292150123002</v>
      </c>
      <c r="G241" t="str">
        <f>_xll.BDP($C241,"MATURITY")</f>
        <v>8/15/2029</v>
      </c>
      <c r="H241" t="str">
        <f>_xll.BDP($C241,"RTG_SP")</f>
        <v>#N/A N/A</v>
      </c>
    </row>
    <row r="242" spans="1:8" x14ac:dyDescent="0.25">
      <c r="A242" s="1" t="s">
        <v>139</v>
      </c>
      <c r="B242" s="1" t="s">
        <v>1412</v>
      </c>
      <c r="C242" s="1" t="s">
        <v>1413</v>
      </c>
      <c r="D242" s="1" t="s">
        <v>1414</v>
      </c>
      <c r="E242">
        <f>_xll.BDP($C242,"DUR_ADJ_MID")</f>
        <v>3.2250885995394194</v>
      </c>
      <c r="F242">
        <f>_xll.BDP($C242,"OAS_SPREAD_DUR_MID")</f>
        <v>3.2284670349720912</v>
      </c>
      <c r="G242" t="str">
        <f>_xll.BDP($C242,"MATURITY")</f>
        <v>11/15/2029</v>
      </c>
      <c r="H242" t="str">
        <f>_xll.BDP($C242,"RTG_SP")</f>
        <v>#N/A N/A</v>
      </c>
    </row>
    <row r="243" spans="1:8" x14ac:dyDescent="0.25">
      <c r="A243" s="1" t="s">
        <v>139</v>
      </c>
      <c r="B243" s="1" t="s">
        <v>1415</v>
      </c>
      <c r="C243" s="1" t="s">
        <v>1416</v>
      </c>
      <c r="D243" s="1" t="s">
        <v>1417</v>
      </c>
      <c r="E243">
        <f>_xll.BDP($C243,"DUR_ADJ_MID")</f>
        <v>3.4572944828162666</v>
      </c>
      <c r="F243">
        <f>_xll.BDP($C243,"OAS_SPREAD_DUR_MID")</f>
        <v>3.4602782193646706</v>
      </c>
      <c r="G243" t="str">
        <f>_xll.BDP($C243,"MATURITY")</f>
        <v>2/15/2030</v>
      </c>
      <c r="H243" t="str">
        <f>_xll.BDP($C243,"RTG_SP")</f>
        <v>#N/A N/A</v>
      </c>
    </row>
    <row r="244" spans="1:8" x14ac:dyDescent="0.25">
      <c r="A244" s="1" t="s">
        <v>139</v>
      </c>
      <c r="B244" s="1" t="s">
        <v>1418</v>
      </c>
      <c r="C244" s="1" t="s">
        <v>1419</v>
      </c>
      <c r="D244" s="1" t="s">
        <v>1420</v>
      </c>
      <c r="E244">
        <f>_xll.BDP($C244,"DUR_ADJ_MID")</f>
        <v>3.7605274664312773</v>
      </c>
      <c r="F244">
        <f>_xll.BDP($C244,"OAS_SPREAD_DUR_MID")</f>
        <v>3.759693783265301</v>
      </c>
      <c r="G244" t="str">
        <f>_xll.BDP($C244,"MATURITY")</f>
        <v>5/15/2030</v>
      </c>
      <c r="H244" t="str">
        <f>_xll.BDP($C244,"RTG_SP")</f>
        <v>#N/A N/A</v>
      </c>
    </row>
    <row r="245" spans="1:8" x14ac:dyDescent="0.25">
      <c r="A245" s="1" t="s">
        <v>139</v>
      </c>
      <c r="B245" s="1" t="s">
        <v>1421</v>
      </c>
      <c r="C245" s="1" t="s">
        <v>1422</v>
      </c>
      <c r="D245" s="1" t="s">
        <v>1423</v>
      </c>
      <c r="E245">
        <f>_xll.BDP($C245,"DUR_ADJ_MID")</f>
        <v>3.993836700511519</v>
      </c>
      <c r="F245">
        <f>_xll.BDP($C245,"OAS_SPREAD_DUR_MID")</f>
        <v>3.9926225177525021</v>
      </c>
      <c r="G245" t="str">
        <f>_xll.BDP($C245,"MATURITY")</f>
        <v>8/15/2030</v>
      </c>
      <c r="H245" t="str">
        <f>_xll.BDP($C245,"RTG_SP")</f>
        <v>#N/A N/A</v>
      </c>
    </row>
    <row r="246" spans="1:8" x14ac:dyDescent="0.25">
      <c r="A246" s="1" t="s">
        <v>139</v>
      </c>
      <c r="B246" s="1" t="s">
        <v>1424</v>
      </c>
      <c r="C246" s="1" t="s">
        <v>1425</v>
      </c>
      <c r="D246" s="1" t="s">
        <v>1426</v>
      </c>
      <c r="E246">
        <f>_xll.BDP($C246,"DUR_ADJ_MID")</f>
        <v>4.2133291859788233</v>
      </c>
      <c r="F246">
        <f>_xll.BDP($C246,"OAS_SPREAD_DUR_MID")</f>
        <v>4.2160781531613853</v>
      </c>
      <c r="G246" t="str">
        <f>_xll.BDP($C246,"MATURITY")</f>
        <v>11/15/2030</v>
      </c>
      <c r="H246" t="str">
        <f>_xll.BDP($C246,"RTG_SP")</f>
        <v>#N/A N/A</v>
      </c>
    </row>
    <row r="247" spans="1:8" x14ac:dyDescent="0.25">
      <c r="A247" s="1" t="s">
        <v>139</v>
      </c>
      <c r="B247" s="1" t="s">
        <v>1427</v>
      </c>
      <c r="C247" s="1" t="s">
        <v>1428</v>
      </c>
      <c r="D247" s="1" t="s">
        <v>1429</v>
      </c>
      <c r="E247">
        <f>_xll.BDP($C247,"DUR_ADJ_MID")</f>
        <v>4.4109190546128936</v>
      </c>
      <c r="F247">
        <f>_xll.BDP($C247,"OAS_SPREAD_DUR_MID")</f>
        <v>4.4132425674212614</v>
      </c>
      <c r="G247" t="str">
        <f>_xll.BDP($C247,"MATURITY")</f>
        <v>2/15/2031</v>
      </c>
      <c r="H247" t="str">
        <f>_xll.BDP($C247,"RTG_SP")</f>
        <v>#N/A N/A</v>
      </c>
    </row>
    <row r="248" spans="1:8" x14ac:dyDescent="0.25">
      <c r="A248" s="1" t="s">
        <v>139</v>
      </c>
      <c r="B248" s="1" t="s">
        <v>1430</v>
      </c>
      <c r="C248" s="1" t="s">
        <v>1431</v>
      </c>
      <c r="D248" s="1" t="s">
        <v>1432</v>
      </c>
      <c r="E248">
        <f>_xll.BDP($C248,"DUR_ADJ_MID")</f>
        <v>4.5984727974681459</v>
      </c>
      <c r="F248">
        <f>_xll.BDP($C248,"OAS_SPREAD_DUR_MID")</f>
        <v>4.5969582364845447</v>
      </c>
      <c r="G248" t="str">
        <f>_xll.BDP($C248,"MATURITY")</f>
        <v>5/15/2031</v>
      </c>
      <c r="H248" t="str">
        <f>_xll.BDP($C248,"RTG_SP")</f>
        <v>#N/A N/A</v>
      </c>
    </row>
    <row r="249" spans="1:8" x14ac:dyDescent="0.25">
      <c r="A249" s="1" t="s">
        <v>139</v>
      </c>
      <c r="B249" s="1" t="s">
        <v>1433</v>
      </c>
      <c r="C249" s="1" t="s">
        <v>1434</v>
      </c>
      <c r="D249" s="1" t="s">
        <v>1435</v>
      </c>
      <c r="E249">
        <f>_xll.BDP($C249,"DUR_ADJ_MID")</f>
        <v>4.8518602542546878</v>
      </c>
      <c r="F249">
        <f>_xll.BDP($C249,"OAS_SPREAD_DUR_MID")</f>
        <v>4.8499254394559932</v>
      </c>
      <c r="G249" t="str">
        <f>_xll.BDP($C249,"MATURITY")</f>
        <v>8/15/2031</v>
      </c>
      <c r="H249" t="str">
        <f>_xll.BDP($C249,"RTG_SP")</f>
        <v>#N/A N/A</v>
      </c>
    </row>
    <row r="250" spans="1:8" x14ac:dyDescent="0.25">
      <c r="A250" s="1" t="s">
        <v>139</v>
      </c>
      <c r="B250" s="1" t="s">
        <v>1436</v>
      </c>
      <c r="C250" s="1" t="s">
        <v>1437</v>
      </c>
      <c r="D250" s="1" t="s">
        <v>1438</v>
      </c>
      <c r="E250">
        <f>_xll.BDP($C250,"DUR_ADJ_MID")</f>
        <v>5.0773380668074788</v>
      </c>
      <c r="F250">
        <f>_xll.BDP($C250,"OAS_SPREAD_DUR_MID")</f>
        <v>5.0792018150272042</v>
      </c>
      <c r="G250" t="str">
        <f>_xll.BDP($C250,"MATURITY")</f>
        <v>11/15/2031</v>
      </c>
      <c r="H250" t="str">
        <f>_xll.BDP($C250,"RTG_SP")</f>
        <v>#N/A N/A</v>
      </c>
    </row>
    <row r="251" spans="1:8" x14ac:dyDescent="0.25">
      <c r="A251" s="1" t="s">
        <v>139</v>
      </c>
      <c r="B251" s="1" t="s">
        <v>1439</v>
      </c>
      <c r="C251" s="1" t="s">
        <v>1440</v>
      </c>
      <c r="D251" s="1" t="s">
        <v>1441</v>
      </c>
      <c r="E251">
        <f>_xll.BDP($C251,"DUR_ADJ_MID")</f>
        <v>5.2057496565333183</v>
      </c>
      <c r="F251">
        <f>_xll.BDP($C251,"OAS_SPREAD_DUR_MID")</f>
        <v>5.2069557038512118</v>
      </c>
      <c r="G251" t="str">
        <f>_xll.BDP($C251,"MATURITY")</f>
        <v>2/15/2032</v>
      </c>
      <c r="H251" t="str">
        <f>_xll.BDP($C251,"RTG_SP")</f>
        <v>#N/A N/A</v>
      </c>
    </row>
    <row r="252" spans="1:8" x14ac:dyDescent="0.25">
      <c r="A252" s="1" t="s">
        <v>139</v>
      </c>
      <c r="B252" s="1" t="s">
        <v>1442</v>
      </c>
      <c r="C252" s="1" t="s">
        <v>1443</v>
      </c>
      <c r="D252" s="1" t="s">
        <v>1444</v>
      </c>
      <c r="E252">
        <f>_xll.BDP($C252,"DUR_ADJ_MID")</f>
        <v>5.3067862188006387</v>
      </c>
      <c r="F252">
        <f>_xll.BDP($C252,"OAS_SPREAD_DUR_MID")</f>
        <v>5.3064889981854995</v>
      </c>
      <c r="G252" t="str">
        <f>_xll.BDP($C252,"MATURITY")</f>
        <v>5/15/2032</v>
      </c>
      <c r="H252" t="str">
        <f>_xll.BDP($C252,"RTG_SP")</f>
        <v>#N/A N/A</v>
      </c>
    </row>
    <row r="253" spans="1:8" x14ac:dyDescent="0.25">
      <c r="A253" s="1" t="s">
        <v>139</v>
      </c>
      <c r="B253" s="1" t="s">
        <v>1445</v>
      </c>
      <c r="C253" s="1" t="s">
        <v>1446</v>
      </c>
      <c r="D253" s="1" t="s">
        <v>1447</v>
      </c>
      <c r="E253">
        <f>_xll.BDP($C253,"DUR_ADJ_MID")</f>
        <v>2.7694216830554095</v>
      </c>
      <c r="F253">
        <f>_xll.BDP($C253,"OAS_SPREAD_DUR_MID")</f>
        <v>2.7698739108613308</v>
      </c>
      <c r="G253" t="str">
        <f>_xll.BDP($C253,"MATURITY")</f>
        <v>5/31/2029</v>
      </c>
      <c r="H253" t="str">
        <f>_xll.BDP($C253,"RTG_SP")</f>
        <v>#N/A N/A</v>
      </c>
    </row>
    <row r="254" spans="1:8" x14ac:dyDescent="0.25">
      <c r="A254" s="1" t="s">
        <v>139</v>
      </c>
      <c r="B254" s="1" t="s">
        <v>1448</v>
      </c>
      <c r="C254" s="1" t="s">
        <v>1449</v>
      </c>
      <c r="D254" s="1" t="s">
        <v>1450</v>
      </c>
      <c r="E254">
        <f>_xll.BDP($C254,"DUR_ADJ_MID")</f>
        <v>2.7870218632104091</v>
      </c>
      <c r="F254">
        <f>_xll.BDP($C254,"OAS_SPREAD_DUR_MID")</f>
        <v>2.7876304711001954</v>
      </c>
      <c r="G254" t="str">
        <f>_xll.BDP($C254,"MATURITY")</f>
        <v>6/30/2029</v>
      </c>
      <c r="H254" t="str">
        <f>_xll.BDP($C254,"RTG_SP")</f>
        <v>#N/A N/A</v>
      </c>
    </row>
    <row r="255" spans="1:8" x14ac:dyDescent="0.25">
      <c r="A255" s="1" t="s">
        <v>139</v>
      </c>
      <c r="B255" s="1" t="s">
        <v>1451</v>
      </c>
      <c r="C255" s="1" t="s">
        <v>1452</v>
      </c>
      <c r="D255" s="1" t="s">
        <v>1453</v>
      </c>
      <c r="E255">
        <f>_xll.BDP($C255,"DUR_ADJ_MID")</f>
        <v>2.8995278492058567</v>
      </c>
      <c r="F255">
        <f>_xll.BDP($C255,"OAS_SPREAD_DUR_MID")</f>
        <v>2.8993514761312165</v>
      </c>
      <c r="G255" t="str">
        <f>_xll.BDP($C255,"MATURITY")</f>
        <v>7/31/2029</v>
      </c>
      <c r="H255" t="str">
        <f>_xll.BDP($C255,"RTG_SP")</f>
        <v>#N/A N/A</v>
      </c>
    </row>
    <row r="256" spans="1:8" x14ac:dyDescent="0.25">
      <c r="A256" s="1" t="s">
        <v>139</v>
      </c>
      <c r="B256" s="1" t="s">
        <v>1454</v>
      </c>
      <c r="C256" s="1" t="s">
        <v>1455</v>
      </c>
      <c r="D256" s="1" t="s">
        <v>1456</v>
      </c>
      <c r="E256">
        <f>_xll.BDP($C256,"DUR_ADJ_MID")</f>
        <v>5.4901368553597383</v>
      </c>
      <c r="F256">
        <f>_xll.BDP($C256,"OAS_SPREAD_DUR_MID")</f>
        <v>5.4892640406653843</v>
      </c>
      <c r="G256" t="str">
        <f>_xll.BDP($C256,"MATURITY")</f>
        <v>8/15/2032</v>
      </c>
      <c r="H256" t="str">
        <f>_xll.BDP($C256,"RTG_SP")</f>
        <v>#N/A N/A</v>
      </c>
    </row>
    <row r="257" spans="1:8" x14ac:dyDescent="0.25">
      <c r="A257" s="1" t="s">
        <v>139</v>
      </c>
      <c r="B257" s="1" t="s">
        <v>1457</v>
      </c>
      <c r="C257" s="1" t="s">
        <v>1458</v>
      </c>
      <c r="D257" s="1" t="s">
        <v>1459</v>
      </c>
      <c r="E257">
        <f>_xll.BDP($C257,"DUR_ADJ_MID")</f>
        <v>2.9574447865189648</v>
      </c>
      <c r="F257">
        <f>_xll.BDP($C257,"OAS_SPREAD_DUR_MID")</f>
        <v>2.9591293460997674</v>
      </c>
      <c r="G257" t="str">
        <f>_xll.BDP($C257,"MATURITY")</f>
        <v>8/31/2029</v>
      </c>
      <c r="H257" t="str">
        <f>_xll.BDP($C257,"RTG_SP")</f>
        <v>#N/A N/A</v>
      </c>
    </row>
    <row r="258" spans="1:8" x14ac:dyDescent="0.25">
      <c r="A258" s="1" t="s">
        <v>139</v>
      </c>
      <c r="B258" s="1" t="s">
        <v>1460</v>
      </c>
      <c r="C258" s="1" t="s">
        <v>1461</v>
      </c>
      <c r="D258" s="1" t="s">
        <v>1462</v>
      </c>
      <c r="E258">
        <f>_xll.BDP($C258,"DUR_ADJ_MID")</f>
        <v>3.0057362064381574</v>
      </c>
      <c r="F258">
        <f>_xll.BDP($C258,"OAS_SPREAD_DUR_MID")</f>
        <v>3.0066752001291519</v>
      </c>
      <c r="G258" t="str">
        <f>_xll.BDP($C258,"MATURITY")</f>
        <v>9/30/2029</v>
      </c>
      <c r="H258" t="str">
        <f>_xll.BDP($C258,"RTG_SP")</f>
        <v>#N/A N/A</v>
      </c>
    </row>
    <row r="259" spans="1:8" x14ac:dyDescent="0.25">
      <c r="A259" s="1" t="s">
        <v>139</v>
      </c>
      <c r="B259" s="1" t="s">
        <v>1463</v>
      </c>
      <c r="C259" s="1" t="s">
        <v>1464</v>
      </c>
      <c r="D259" s="1" t="s">
        <v>1465</v>
      </c>
      <c r="E259">
        <f>_xll.BDP($C259,"DUR_ADJ_MID")</f>
        <v>3.0814211149184954</v>
      </c>
      <c r="F259">
        <f>_xll.BDP($C259,"OAS_SPREAD_DUR_MID")</f>
        <v>3.0842629175150837</v>
      </c>
      <c r="G259" t="str">
        <f>_xll.BDP($C259,"MATURITY")</f>
        <v>10/31/2029</v>
      </c>
      <c r="H259" t="str">
        <f>_xll.BDP($C259,"RTG_SP")</f>
        <v>#N/A N/A</v>
      </c>
    </row>
    <row r="260" spans="1:8" x14ac:dyDescent="0.25">
      <c r="A260" s="1" t="s">
        <v>139</v>
      </c>
      <c r="B260" s="1" t="s">
        <v>1466</v>
      </c>
      <c r="C260" s="1" t="s">
        <v>1467</v>
      </c>
      <c r="D260" s="1" t="s">
        <v>1468</v>
      </c>
      <c r="E260">
        <f>_xll.BDP($C260,"DUR_ADJ_MID")</f>
        <v>5.5330225337411321</v>
      </c>
      <c r="F260">
        <f>_xll.BDP($C260,"OAS_SPREAD_DUR_MID")</f>
        <v>5.5348020242128886</v>
      </c>
      <c r="G260" t="str">
        <f>_xll.BDP($C260,"MATURITY")</f>
        <v>11/15/2032</v>
      </c>
      <c r="H260" t="str">
        <f>_xll.BDP($C260,"RTG_SP")</f>
        <v>#N/A N/A</v>
      </c>
    </row>
    <row r="261" spans="1:8" x14ac:dyDescent="0.25">
      <c r="A261" s="1" t="s">
        <v>139</v>
      </c>
      <c r="B261" s="1" t="s">
        <v>1469</v>
      </c>
      <c r="C261" s="1" t="s">
        <v>1470</v>
      </c>
      <c r="D261" s="1" t="s">
        <v>1471</v>
      </c>
      <c r="E261">
        <f>_xll.BDP($C261,"DUR_ADJ_MID")</f>
        <v>3.1688821658879092</v>
      </c>
      <c r="F261">
        <f>_xll.BDP($C261,"OAS_SPREAD_DUR_MID")</f>
        <v>3.1701609720810344</v>
      </c>
      <c r="G261" t="str">
        <f>_xll.BDP($C261,"MATURITY")</f>
        <v>11/30/2029</v>
      </c>
      <c r="H261" t="str">
        <f>_xll.BDP($C261,"RTG_SP")</f>
        <v>#N/A N/A</v>
      </c>
    </row>
    <row r="262" spans="1:8" x14ac:dyDescent="0.25">
      <c r="A262" s="1" t="s">
        <v>139</v>
      </c>
      <c r="B262" s="1" t="s">
        <v>1472</v>
      </c>
      <c r="C262" s="1" t="s">
        <v>1473</v>
      </c>
      <c r="D262" s="1" t="s">
        <v>1474</v>
      </c>
      <c r="E262">
        <f>_xll.BDP($C262,"DUR_ADJ_MID")</f>
        <v>3.1872021300075546</v>
      </c>
      <c r="F262">
        <f>_xll.BDP($C262,"OAS_SPREAD_DUR_MID")</f>
        <v>3.1910403250890358</v>
      </c>
      <c r="G262" t="str">
        <f>_xll.BDP($C262,"MATURITY")</f>
        <v>12/31/2029</v>
      </c>
      <c r="H262" t="str">
        <f>_xll.BDP($C262,"RTG_SP")</f>
        <v>#N/A N/A</v>
      </c>
    </row>
    <row r="263" spans="1:8" x14ac:dyDescent="0.25">
      <c r="A263" s="1" t="s">
        <v>139</v>
      </c>
      <c r="B263" s="1" t="s">
        <v>1475</v>
      </c>
      <c r="C263" s="1" t="s">
        <v>1476</v>
      </c>
      <c r="D263" s="1" t="s">
        <v>1477</v>
      </c>
      <c r="E263">
        <f>_xll.BDP($C263,"DUR_ADJ_MID")</f>
        <v>3.2923491691207531</v>
      </c>
      <c r="F263">
        <f>_xll.BDP($C263,"OAS_SPREAD_DUR_MID")</f>
        <v>3.2954387243711629</v>
      </c>
      <c r="G263" t="str">
        <f>_xll.BDP($C263,"MATURITY")</f>
        <v>1/31/2030</v>
      </c>
      <c r="H263" t="str">
        <f>_xll.BDP($C263,"RTG_SP")</f>
        <v>#N/A N/A</v>
      </c>
    </row>
    <row r="264" spans="1:8" x14ac:dyDescent="0.25">
      <c r="A264" s="1" t="s">
        <v>139</v>
      </c>
      <c r="B264" s="1" t="s">
        <v>1478</v>
      </c>
      <c r="C264" s="1" t="s">
        <v>1479</v>
      </c>
      <c r="D264" s="1" t="s">
        <v>1480</v>
      </c>
      <c r="E264">
        <f>_xll.BDP($C264,"DUR_ADJ_MID")</f>
        <v>5.7630311321516583</v>
      </c>
      <c r="F264">
        <f>_xll.BDP($C264,"OAS_SPREAD_DUR_MID")</f>
        <v>5.7643498673370743</v>
      </c>
      <c r="G264" t="str">
        <f>_xll.BDP($C264,"MATURITY")</f>
        <v>2/15/2033</v>
      </c>
      <c r="H264" t="str">
        <f>_xll.BDP($C264,"RTG_SP")</f>
        <v>#N/A N/A</v>
      </c>
    </row>
    <row r="265" spans="1:8" x14ac:dyDescent="0.25">
      <c r="A265" s="1" t="s">
        <v>139</v>
      </c>
      <c r="B265" s="1" t="s">
        <v>1481</v>
      </c>
      <c r="C265" s="1" t="s">
        <v>1482</v>
      </c>
      <c r="D265" s="1" t="s">
        <v>1483</v>
      </c>
      <c r="E265">
        <f>_xll.BDP($C265,"DUR_ADJ_MID")</f>
        <v>3.3452067994796693</v>
      </c>
      <c r="F265">
        <f>_xll.BDP($C265,"OAS_SPREAD_DUR_MID")</f>
        <v>3.3428852625161474</v>
      </c>
      <c r="G265" t="str">
        <f>_xll.BDP($C265,"MATURITY")</f>
        <v>2/28/2030</v>
      </c>
      <c r="H265" t="str">
        <f>_xll.BDP($C265,"RTG_SP")</f>
        <v>#N/A N/A</v>
      </c>
    </row>
    <row r="266" spans="1:8" x14ac:dyDescent="0.25">
      <c r="A266" s="1" t="s">
        <v>139</v>
      </c>
      <c r="B266" s="1" t="s">
        <v>1484</v>
      </c>
      <c r="C266" s="1" t="s">
        <v>1485</v>
      </c>
      <c r="D266" s="1" t="s">
        <v>1486</v>
      </c>
      <c r="E266">
        <f>_xll.BDP($C266,"DUR_ADJ_MID")</f>
        <v>3.4473827129261831</v>
      </c>
      <c r="F266">
        <f>_xll.BDP($C266,"OAS_SPREAD_DUR_MID")</f>
        <v>3.4467762829249451</v>
      </c>
      <c r="G266" t="str">
        <f>_xll.BDP($C266,"MATURITY")</f>
        <v>3/31/2030</v>
      </c>
      <c r="H266" t="str">
        <f>_xll.BDP($C266,"RTG_SP")</f>
        <v>#N/A N/A</v>
      </c>
    </row>
    <row r="267" spans="1:8" x14ac:dyDescent="0.25">
      <c r="A267" s="1" t="s">
        <v>139</v>
      </c>
      <c r="B267" s="1" t="s">
        <v>1487</v>
      </c>
      <c r="C267" s="1" t="s">
        <v>1488</v>
      </c>
      <c r="D267" s="1" t="s">
        <v>1489</v>
      </c>
      <c r="E267">
        <f>_xll.BDP($C267,"DUR_ADJ_MID")</f>
        <v>3.5356558627883419</v>
      </c>
      <c r="F267">
        <f>_xll.BDP($C267,"OAS_SPREAD_DUR_MID")</f>
        <v>3.5345603236374865</v>
      </c>
      <c r="G267" t="str">
        <f>_xll.BDP($C267,"MATURITY")</f>
        <v>4/30/2030</v>
      </c>
      <c r="H267" t="str">
        <f>_xll.BDP($C267,"RTG_SP")</f>
        <v>#N/A N/A</v>
      </c>
    </row>
    <row r="268" spans="1:8" x14ac:dyDescent="0.25">
      <c r="A268" s="1" t="s">
        <v>139</v>
      </c>
      <c r="B268" s="1" t="s">
        <v>1490</v>
      </c>
      <c r="C268" s="1" t="s">
        <v>1491</v>
      </c>
      <c r="D268" s="1" t="s">
        <v>1492</v>
      </c>
      <c r="E268">
        <f>_xll.BDP($C268,"DUR_ADJ_MID")</f>
        <v>6.0254091788583661</v>
      </c>
      <c r="F268">
        <f>_xll.BDP($C268,"OAS_SPREAD_DUR_MID")</f>
        <v>6.0234440171284769</v>
      </c>
      <c r="G268" t="str">
        <f>_xll.BDP($C268,"MATURITY")</f>
        <v>5/15/2033</v>
      </c>
      <c r="H268" t="str">
        <f>_xll.BDP($C268,"RTG_SP")</f>
        <v>#N/A N/A</v>
      </c>
    </row>
    <row r="269" spans="1:8" x14ac:dyDescent="0.25">
      <c r="A269" s="1" t="s">
        <v>139</v>
      </c>
      <c r="B269" s="1" t="s">
        <v>1493</v>
      </c>
      <c r="C269" s="1" t="s">
        <v>1494</v>
      </c>
      <c r="D269" s="1" t="s">
        <v>1495</v>
      </c>
      <c r="E269">
        <f>_xll.BDP($C269,"DUR_ADJ_MID")</f>
        <v>3.6035158066956665</v>
      </c>
      <c r="F269">
        <f>_xll.BDP($C269,"OAS_SPREAD_DUR_MID")</f>
        <v>3.6032357231753411</v>
      </c>
      <c r="G269" t="str">
        <f>_xll.BDP($C269,"MATURITY")</f>
        <v>5/31/2030</v>
      </c>
      <c r="H269" t="str">
        <f>_xll.BDP($C269,"RTG_SP")</f>
        <v>#N/A N/A</v>
      </c>
    </row>
    <row r="270" spans="1:8" x14ac:dyDescent="0.25">
      <c r="A270" s="1" t="s">
        <v>139</v>
      </c>
      <c r="B270" s="1" t="s">
        <v>1496</v>
      </c>
      <c r="C270" s="1" t="s">
        <v>1497</v>
      </c>
      <c r="D270" s="1" t="s">
        <v>1498</v>
      </c>
      <c r="E270">
        <f>_xll.BDP($C270,"DUR_ADJ_MID")</f>
        <v>3.6152225276755718</v>
      </c>
      <c r="F270">
        <f>_xll.BDP($C270,"OAS_SPREAD_DUR_MID")</f>
        <v>3.6151753183131285</v>
      </c>
      <c r="G270" t="str">
        <f>_xll.BDP($C270,"MATURITY")</f>
        <v>6/30/2030</v>
      </c>
      <c r="H270" t="str">
        <f>_xll.BDP($C270,"RTG_SP")</f>
        <v>#N/A N/A</v>
      </c>
    </row>
    <row r="271" spans="1:8" x14ac:dyDescent="0.25">
      <c r="A271" s="1" t="s">
        <v>139</v>
      </c>
      <c r="B271" s="1" t="s">
        <v>1499</v>
      </c>
      <c r="C271" s="1" t="s">
        <v>1500</v>
      </c>
      <c r="D271" s="1" t="s">
        <v>1501</v>
      </c>
      <c r="E271">
        <f>_xll.BDP($C271,"DUR_ADJ_MID")</f>
        <v>3.6816636651729415</v>
      </c>
      <c r="F271">
        <f>_xll.BDP($C271,"OAS_SPREAD_DUR_MID")</f>
        <v>3.6808180092959408</v>
      </c>
      <c r="G271" t="str">
        <f>_xll.BDP($C271,"MATURITY")</f>
        <v>7/31/2030</v>
      </c>
      <c r="H271" t="str">
        <f>_xll.BDP($C271,"RTG_SP")</f>
        <v>#N/A N/A</v>
      </c>
    </row>
    <row r="272" spans="1:8" x14ac:dyDescent="0.25">
      <c r="A272" s="1" t="s">
        <v>139</v>
      </c>
      <c r="B272" s="1" t="s">
        <v>1502</v>
      </c>
      <c r="C272" s="1" t="s">
        <v>1503</v>
      </c>
      <c r="D272" s="1" t="s">
        <v>1504</v>
      </c>
      <c r="E272">
        <f>_xll.BDP($C272,"DUR_ADJ_MID")</f>
        <v>3.7538420229596525</v>
      </c>
      <c r="F272">
        <f>_xll.BDP($C272,"OAS_SPREAD_DUR_MID")</f>
        <v>3.7546029120017965</v>
      </c>
      <c r="G272" t="str">
        <f>_xll.BDP($C272,"MATURITY")</f>
        <v>8/31/2030</v>
      </c>
      <c r="H272" t="str">
        <f>_xll.BDP($C272,"RTG_SP")</f>
        <v>#N/A N/A</v>
      </c>
    </row>
    <row r="273" spans="1:8" x14ac:dyDescent="0.25">
      <c r="A273" s="1" t="s">
        <v>139</v>
      </c>
      <c r="B273" s="1" t="s">
        <v>1505</v>
      </c>
      <c r="C273" s="1" t="s">
        <v>1506</v>
      </c>
      <c r="D273" s="1" t="s">
        <v>1507</v>
      </c>
      <c r="E273">
        <f>_xll.BDP($C273,"DUR_ADJ_MID")</f>
        <v>3.8014776222296147</v>
      </c>
      <c r="F273">
        <f>_xll.BDP($C273,"OAS_SPREAD_DUR_MID")</f>
        <v>3.8015820432682785</v>
      </c>
      <c r="G273" t="str">
        <f>_xll.BDP($C273,"MATURITY")</f>
        <v>9/30/2030</v>
      </c>
      <c r="H273" t="str">
        <f>_xll.BDP($C273,"RTG_SP")</f>
        <v>#N/A N/A</v>
      </c>
    </row>
    <row r="274" spans="1:8" x14ac:dyDescent="0.25">
      <c r="A274" s="1" t="s">
        <v>139</v>
      </c>
      <c r="B274" s="1" t="s">
        <v>1508</v>
      </c>
      <c r="C274" s="1" t="s">
        <v>1509</v>
      </c>
      <c r="D274" s="1" t="s">
        <v>1510</v>
      </c>
      <c r="E274">
        <f>_xll.BDP($C274,"DUR_ADJ_MID")</f>
        <v>3.8662455576269181</v>
      </c>
      <c r="F274">
        <f>_xll.BDP($C274,"OAS_SPREAD_DUR_MID")</f>
        <v>3.8681485935073368</v>
      </c>
      <c r="G274" t="str">
        <f>_xll.BDP($C274,"MATURITY")</f>
        <v>10/31/2030</v>
      </c>
      <c r="H274" t="str">
        <f>_xll.BDP($C274,"RTG_SP")</f>
        <v>#N/A N/A</v>
      </c>
    </row>
    <row r="275" spans="1:8" x14ac:dyDescent="0.25">
      <c r="A275" s="1" t="s">
        <v>139</v>
      </c>
      <c r="B275" s="1" t="s">
        <v>1511</v>
      </c>
      <c r="C275" s="1" t="s">
        <v>1512</v>
      </c>
      <c r="D275" s="1" t="s">
        <v>1513</v>
      </c>
      <c r="E275">
        <f>_xll.BDP($C275,"DUR_ADJ_MID")</f>
        <v>3.9813493793356236</v>
      </c>
      <c r="F275">
        <f>_xll.BDP($C275,"OAS_SPREAD_DUR_MID")</f>
        <v>3.9817964843945917</v>
      </c>
      <c r="G275" t="str">
        <f>_xll.BDP($C275,"MATURITY")</f>
        <v>11/30/2030</v>
      </c>
      <c r="H275" t="str">
        <f>_xll.BDP($C275,"RTG_SP")</f>
        <v>#N/A N/A</v>
      </c>
    </row>
    <row r="276" spans="1:8" x14ac:dyDescent="0.25">
      <c r="A276" s="1" t="s">
        <v>139</v>
      </c>
      <c r="B276" s="1" t="s">
        <v>1514</v>
      </c>
      <c r="C276" s="1" t="s">
        <v>1515</v>
      </c>
      <c r="D276" s="1" t="s">
        <v>1516</v>
      </c>
      <c r="E276">
        <f>_xll.BDP($C276,"DUR_ADJ_MID")</f>
        <v>4.0280982698975505</v>
      </c>
      <c r="F276">
        <f>_xll.BDP($C276,"OAS_SPREAD_DUR_MID")</f>
        <v>4.0311353831928116</v>
      </c>
      <c r="G276" t="str">
        <f>_xll.BDP($C276,"MATURITY")</f>
        <v>12/31/2030</v>
      </c>
      <c r="H276" t="str">
        <f>_xll.BDP($C276,"RTG_SP")</f>
        <v>#N/A N/A</v>
      </c>
    </row>
    <row r="277" spans="1:8" x14ac:dyDescent="0.25">
      <c r="A277" s="1" t="s">
        <v>139</v>
      </c>
      <c r="B277" s="1" t="s">
        <v>1517</v>
      </c>
      <c r="C277" s="1" t="s">
        <v>1518</v>
      </c>
      <c r="D277" s="1" t="s">
        <v>1519</v>
      </c>
      <c r="E277">
        <f>_xll.BDP($C277,"DUR_ADJ_MID")</f>
        <v>4.0906243103025641</v>
      </c>
      <c r="F277">
        <f>_xll.BDP($C277,"OAS_SPREAD_DUR_MID")</f>
        <v>4.0928205645458631</v>
      </c>
      <c r="G277" t="str">
        <f>_xll.BDP($C277,"MATURITY")</f>
        <v>1/31/2031</v>
      </c>
      <c r="H277" t="str">
        <f>_xll.BDP($C277,"RTG_SP")</f>
        <v>#N/A N/A</v>
      </c>
    </row>
    <row r="278" spans="1:8" x14ac:dyDescent="0.25">
      <c r="A278" s="1" t="s">
        <v>139</v>
      </c>
      <c r="B278" s="1" t="s">
        <v>1520</v>
      </c>
      <c r="C278" s="1" t="s">
        <v>1521</v>
      </c>
      <c r="D278" s="1" t="s">
        <v>1522</v>
      </c>
      <c r="E278">
        <f>_xll.BDP($C278,"DUR_ADJ_MID")</f>
        <v>4.1507978528534863</v>
      </c>
      <c r="F278">
        <f>_xll.BDP($C278,"OAS_SPREAD_DUR_MID")</f>
        <v>4.1477849099047273</v>
      </c>
      <c r="G278" t="str">
        <f>_xll.BDP($C278,"MATURITY")</f>
        <v>2/28/2031</v>
      </c>
      <c r="H278" t="str">
        <f>_xll.BDP($C278,"RTG_SP")</f>
        <v>#N/A N/A</v>
      </c>
    </row>
    <row r="279" spans="1:8" x14ac:dyDescent="0.25">
      <c r="A279" s="1" t="s">
        <v>139</v>
      </c>
      <c r="B279" s="1" t="s">
        <v>1523</v>
      </c>
      <c r="C279" s="1" t="s">
        <v>1524</v>
      </c>
      <c r="D279" s="1" t="s">
        <v>1525</v>
      </c>
      <c r="E279">
        <f>_xll.BDP($C279,"DUR_ADJ_MID")</f>
        <v>4.2423052034663655</v>
      </c>
      <c r="F279">
        <f>_xll.BDP($C279,"OAS_SPREAD_DUR_MID")</f>
        <v>4.2409352751610481</v>
      </c>
      <c r="G279" t="str">
        <f>_xll.BDP($C279,"MATURITY")</f>
        <v>3/31/2031</v>
      </c>
      <c r="H279" t="str">
        <f>_xll.BDP($C279,"RTG_SP")</f>
        <v>#N/A N/A</v>
      </c>
    </row>
    <row r="280" spans="1:8" x14ac:dyDescent="0.25">
      <c r="A280" s="1" t="s">
        <v>139</v>
      </c>
      <c r="B280" s="1" t="s">
        <v>1526</v>
      </c>
      <c r="C280" s="1" t="s">
        <v>1527</v>
      </c>
      <c r="D280" s="1" t="s">
        <v>1528</v>
      </c>
      <c r="E280">
        <f>_xll.BDP($C280,"DUR_ADJ_MID")</f>
        <v>4.2825238819162301</v>
      </c>
      <c r="F280">
        <f>_xll.BDP($C280,"OAS_SPREAD_DUR_MID")</f>
        <v>4.2807480227661632</v>
      </c>
      <c r="G280" t="str">
        <f>_xll.BDP($C280,"MATURITY")</f>
        <v>4/30/2031</v>
      </c>
      <c r="H280" t="str">
        <f>_xll.BDP($C280,"RTG_SP")</f>
        <v>#N/A N/A</v>
      </c>
    </row>
    <row r="281" spans="1:8" x14ac:dyDescent="0.25">
      <c r="A281" s="1" t="s">
        <v>139</v>
      </c>
      <c r="B281" s="1" t="s">
        <v>1529</v>
      </c>
      <c r="C281" s="1" t="s">
        <v>1530</v>
      </c>
      <c r="D281" s="1" t="s">
        <v>1531</v>
      </c>
      <c r="E281">
        <f>_xll.BDP($C281,"DUR_ADJ_MID")</f>
        <v>2.7135374667500023</v>
      </c>
      <c r="F281">
        <f>_xll.BDP($C281,"OAS_SPREAD_DUR_MID")</f>
        <v>2.713942654081213</v>
      </c>
      <c r="G281" t="str">
        <f>_xll.BDP($C281,"MATURITY")</f>
        <v>5/31/2029</v>
      </c>
      <c r="H281" t="str">
        <f>_xll.BDP($C281,"RTG_SP")</f>
        <v>#N/A N/A</v>
      </c>
    </row>
    <row r="282" spans="1:8" x14ac:dyDescent="0.25">
      <c r="A282" s="1" t="s">
        <v>139</v>
      </c>
      <c r="B282" s="1" t="s">
        <v>1532</v>
      </c>
      <c r="C282" s="1" t="s">
        <v>1533</v>
      </c>
      <c r="D282" s="1" t="s">
        <v>1534</v>
      </c>
      <c r="E282">
        <f>_xll.BDP($C282,"DUR_ADJ_MID")</f>
        <v>4.3645323442331145</v>
      </c>
      <c r="F282">
        <f>_xll.BDP($C282,"OAS_SPREAD_DUR_MID")</f>
        <v>4.3634677465340603</v>
      </c>
      <c r="G282" t="str">
        <f>_xll.BDP($C282,"MATURITY")</f>
        <v>5/31/2031</v>
      </c>
      <c r="H282" t="str">
        <f>_xll.BDP($C282,"RTG_SP")</f>
        <v>#N/A N/A</v>
      </c>
    </row>
    <row r="283" spans="1:8" x14ac:dyDescent="0.25">
      <c r="A283" s="1" t="s">
        <v>139</v>
      </c>
      <c r="B283" s="1" t="s">
        <v>1535</v>
      </c>
      <c r="C283" s="1" t="s">
        <v>1536</v>
      </c>
      <c r="D283" s="1" t="s">
        <v>1537</v>
      </c>
      <c r="E283">
        <f>_xll.BDP($C283,"DUR_ADJ_MID")</f>
        <v>4.3827517033316656</v>
      </c>
      <c r="F283">
        <f>_xll.BDP($C283,"OAS_SPREAD_DUR_MID")</f>
        <v>4.382043375408176</v>
      </c>
      <c r="G283" t="str">
        <f>_xll.BDP($C283,"MATURITY")</f>
        <v>6/30/2031</v>
      </c>
      <c r="H283" t="str">
        <f>_xll.BDP($C283,"RTG_SP")</f>
        <v>#N/A N/A</v>
      </c>
    </row>
    <row r="284" spans="1:8" x14ac:dyDescent="0.25">
      <c r="A284" s="1" t="s">
        <v>139</v>
      </c>
      <c r="B284" s="1" t="s">
        <v>1538</v>
      </c>
      <c r="C284" s="1" t="s">
        <v>1539</v>
      </c>
      <c r="D284" s="1" t="s">
        <v>1540</v>
      </c>
      <c r="E284">
        <f>_xll.BDP($C284,"DUR_ADJ_MID")</f>
        <v>2.7436487888627301</v>
      </c>
      <c r="F284">
        <f>_xll.BDP($C284,"OAS_SPREAD_DUR_MID")</f>
        <v>2.7442639446581922</v>
      </c>
      <c r="G284" t="str">
        <f>_xll.BDP($C284,"MATURITY")</f>
        <v>6/30/2029</v>
      </c>
      <c r="H284" t="str">
        <f>_xll.BDP($C284,"RTG_SP")</f>
        <v>#N/A N/A</v>
      </c>
    </row>
    <row r="285" spans="1:8" x14ac:dyDescent="0.25">
      <c r="A285" s="1" t="s">
        <v>139</v>
      </c>
      <c r="B285" s="1" t="s">
        <v>1541</v>
      </c>
      <c r="C285" s="1" t="s">
        <v>1542</v>
      </c>
      <c r="D285" s="1" t="s">
        <v>1543</v>
      </c>
      <c r="E285">
        <f>_xll.BDP($C285,"DUR_ADJ_MID")</f>
        <v>2.8382031781289307</v>
      </c>
      <c r="F285">
        <f>_xll.BDP($C285,"OAS_SPREAD_DUR_MID")</f>
        <v>2.8380275743169436</v>
      </c>
      <c r="G285" t="str">
        <f>_xll.BDP($C285,"MATURITY")</f>
        <v>7/31/2029</v>
      </c>
      <c r="H285" t="str">
        <f>_xll.BDP($C285,"RTG_SP")</f>
        <v>#N/A N/A</v>
      </c>
    </row>
    <row r="286" spans="1:8" x14ac:dyDescent="0.25">
      <c r="A286" s="1" t="s">
        <v>139</v>
      </c>
      <c r="B286" s="1" t="s">
        <v>1544</v>
      </c>
      <c r="C286" s="1" t="s">
        <v>1545</v>
      </c>
      <c r="D286" s="1" t="s">
        <v>1546</v>
      </c>
      <c r="E286">
        <f>_xll.BDP($C286,"DUR_ADJ_MID")</f>
        <v>4.4789855189690018</v>
      </c>
      <c r="F286">
        <f>_xll.BDP($C286,"OAS_SPREAD_DUR_MID")</f>
        <v>4.4774182867141628</v>
      </c>
      <c r="G286" t="str">
        <f>_xll.BDP($C286,"MATURITY")</f>
        <v>7/31/2031</v>
      </c>
      <c r="H286" t="str">
        <f>_xll.BDP($C286,"RTG_SP")</f>
        <v>#N/A N/A</v>
      </c>
    </row>
    <row r="287" spans="1:8" x14ac:dyDescent="0.25">
      <c r="A287" s="1" t="s">
        <v>139</v>
      </c>
      <c r="B287" s="1" t="s">
        <v>1547</v>
      </c>
      <c r="C287" s="1" t="s">
        <v>1548</v>
      </c>
      <c r="D287" s="1" t="s">
        <v>1549</v>
      </c>
      <c r="E287">
        <f>_xll.BDP($C287,"DUR_ADJ_MID")</f>
        <v>4.5976198021508958</v>
      </c>
      <c r="F287">
        <f>_xll.BDP($C287,"OAS_SPREAD_DUR_MID")</f>
        <v>4.5975137662666272</v>
      </c>
      <c r="G287" t="str">
        <f>_xll.BDP($C287,"MATURITY")</f>
        <v>8/31/2031</v>
      </c>
      <c r="H287" t="str">
        <f>_xll.BDP($C287,"RTG_SP")</f>
        <v>#N/A N/A</v>
      </c>
    </row>
    <row r="288" spans="1:8" x14ac:dyDescent="0.25">
      <c r="A288" s="1" t="s">
        <v>139</v>
      </c>
      <c r="B288" s="1" t="s">
        <v>1550</v>
      </c>
      <c r="C288" s="1" t="s">
        <v>1551</v>
      </c>
      <c r="D288" s="1" t="s">
        <v>1552</v>
      </c>
      <c r="E288">
        <f>_xll.BDP($C288,"DUR_ADJ_MID")</f>
        <v>2.9352900457747797</v>
      </c>
      <c r="F288">
        <f>_xll.BDP($C288,"OAS_SPREAD_DUR_MID")</f>
        <v>2.9369259190515136</v>
      </c>
      <c r="G288" t="str">
        <f>_xll.BDP($C288,"MATURITY")</f>
        <v>8/31/2029</v>
      </c>
      <c r="H288" t="str">
        <f>_xll.BDP($C288,"RTG_SP")</f>
        <v>#N/A N/A</v>
      </c>
    </row>
    <row r="289" spans="1:8" x14ac:dyDescent="0.25">
      <c r="A289" s="1" t="s">
        <v>139</v>
      </c>
      <c r="B289" s="1" t="s">
        <v>1553</v>
      </c>
      <c r="C289" s="1" t="s">
        <v>1554</v>
      </c>
      <c r="D289" s="1" t="s">
        <v>1555</v>
      </c>
      <c r="E289">
        <f>_xll.BDP($C289,"DUR_ADJ_MID")</f>
        <v>4.6919427344916942</v>
      </c>
      <c r="F289">
        <f>_xll.BDP($C289,"OAS_SPREAD_DUR_MID")</f>
        <v>4.691239483840322</v>
      </c>
      <c r="G289" t="str">
        <f>_xll.BDP($C289,"MATURITY")</f>
        <v>9/30/2031</v>
      </c>
      <c r="H289" t="str">
        <f>_xll.BDP($C289,"RTG_SP")</f>
        <v>#N/A N/A</v>
      </c>
    </row>
    <row r="290" spans="1:8" x14ac:dyDescent="0.25">
      <c r="A290" s="1" t="s">
        <v>139</v>
      </c>
      <c r="B290" s="1" t="s">
        <v>1556</v>
      </c>
      <c r="C290" s="1" t="s">
        <v>1557</v>
      </c>
      <c r="D290" s="1" t="s">
        <v>1558</v>
      </c>
      <c r="E290">
        <f>_xll.BDP($C290,"DUR_ADJ_MID")</f>
        <v>3.0219924204684543</v>
      </c>
      <c r="F290">
        <f>_xll.BDP($C290,"OAS_SPREAD_DUR_MID")</f>
        <v>3.0229551623059576</v>
      </c>
      <c r="G290" t="str">
        <f>_xll.BDP($C290,"MATURITY")</f>
        <v>9/30/2029</v>
      </c>
      <c r="H290" t="str">
        <f>_xll.BDP($C290,"RTG_SP")</f>
        <v>#N/A N/A</v>
      </c>
    </row>
    <row r="291" spans="1:8" x14ac:dyDescent="0.25">
      <c r="A291" s="1" t="s">
        <v>139</v>
      </c>
      <c r="B291" s="1" t="s">
        <v>1559</v>
      </c>
      <c r="C291" s="1" t="s">
        <v>1560</v>
      </c>
      <c r="D291" s="1" t="s">
        <v>1561</v>
      </c>
      <c r="E291">
        <f>_xll.BDP($C291,"DUR_ADJ_MID")</f>
        <v>3.0761424351049644</v>
      </c>
      <c r="F291">
        <f>_xll.BDP($C291,"OAS_SPREAD_DUR_MID")</f>
        <v>3.0789720033472867</v>
      </c>
      <c r="G291" t="str">
        <f>_xll.BDP($C291,"MATURITY")</f>
        <v>10/31/2029</v>
      </c>
      <c r="H291" t="str">
        <f>_xll.BDP($C291,"RTG_SP")</f>
        <v>#N/A N/A</v>
      </c>
    </row>
    <row r="292" spans="1:8" x14ac:dyDescent="0.25">
      <c r="A292" s="1" t="s">
        <v>139</v>
      </c>
      <c r="B292" s="1" t="s">
        <v>1562</v>
      </c>
      <c r="C292" s="1" t="s">
        <v>1563</v>
      </c>
      <c r="D292" s="1" t="s">
        <v>1564</v>
      </c>
      <c r="E292">
        <f>_xll.BDP($C292,"DUR_ADJ_MID")</f>
        <v>4.7219137712095609</v>
      </c>
      <c r="F292">
        <f>_xll.BDP($C292,"OAS_SPREAD_DUR_MID")</f>
        <v>4.7229004427077479</v>
      </c>
      <c r="G292" t="str">
        <f>_xll.BDP($C292,"MATURITY")</f>
        <v>10/31/2031</v>
      </c>
      <c r="H292" t="str">
        <f>_xll.BDP($C292,"RTG_SP")</f>
        <v>#N/A N/A</v>
      </c>
    </row>
    <row r="293" spans="1:8" x14ac:dyDescent="0.25">
      <c r="A293" s="1" t="s">
        <v>139</v>
      </c>
      <c r="B293" s="1" t="s">
        <v>1565</v>
      </c>
      <c r="C293" s="1" t="s">
        <v>1566</v>
      </c>
      <c r="D293" s="1" t="s">
        <v>1567</v>
      </c>
      <c r="E293">
        <f>_xll.BDP($C293,"DUR_ADJ_MID")</f>
        <v>4.8038123155238015</v>
      </c>
      <c r="F293">
        <f>_xll.BDP($C293,"OAS_SPREAD_DUR_MID")</f>
        <v>4.803270988315564</v>
      </c>
      <c r="G293" t="str">
        <f>_xll.BDP($C293,"MATURITY")</f>
        <v>11/30/2031</v>
      </c>
      <c r="H293" t="str">
        <f>_xll.BDP($C293,"RTG_SP")</f>
        <v>#N/A N/A</v>
      </c>
    </row>
    <row r="294" spans="1:8" x14ac:dyDescent="0.25">
      <c r="A294" s="1" t="s">
        <v>139</v>
      </c>
      <c r="B294" s="1" t="s">
        <v>1568</v>
      </c>
      <c r="C294" s="1" t="s">
        <v>1569</v>
      </c>
      <c r="D294" s="1" t="s">
        <v>1570</v>
      </c>
      <c r="E294">
        <f>_xll.BDP($C294,"DUR_ADJ_MID")</f>
        <v>3.158337592577463</v>
      </c>
      <c r="F294">
        <f>_xll.BDP($C294,"OAS_SPREAD_DUR_MID")</f>
        <v>3.15959898496962</v>
      </c>
      <c r="G294" t="str">
        <f>_xll.BDP($C294,"MATURITY")</f>
        <v>11/30/2029</v>
      </c>
      <c r="H294" t="str">
        <f>_xll.BDP($C294,"RTG_SP")</f>
        <v>#N/A N/A</v>
      </c>
    </row>
    <row r="295" spans="1:8" x14ac:dyDescent="0.25">
      <c r="A295" s="1" t="s">
        <v>139</v>
      </c>
      <c r="B295" s="1" t="s">
        <v>1571</v>
      </c>
      <c r="C295" s="1" t="s">
        <v>1572</v>
      </c>
      <c r="D295" s="1" t="s">
        <v>1573</v>
      </c>
      <c r="E295">
        <f>_xll.BDP($C295,"DUR_ADJ_MID")</f>
        <v>4.7426072482495805</v>
      </c>
      <c r="F295">
        <f>_xll.BDP($C295,"OAS_SPREAD_DUR_MID")</f>
        <v>4.74443463516279</v>
      </c>
      <c r="G295" t="str">
        <f>_xll.BDP($C295,"MATURITY")</f>
        <v>12/31/2031</v>
      </c>
      <c r="H295" t="str">
        <f>_xll.BDP($C295,"RTG_SP")</f>
        <v>#N/A N/A</v>
      </c>
    </row>
    <row r="296" spans="1:8" x14ac:dyDescent="0.25">
      <c r="A296" s="1" t="s">
        <v>139</v>
      </c>
      <c r="B296" s="1" t="s">
        <v>1574</v>
      </c>
      <c r="C296" s="1" t="s">
        <v>1575</v>
      </c>
      <c r="D296" s="1" t="s">
        <v>1576</v>
      </c>
      <c r="E296">
        <f>_xll.BDP($C296,"DUR_ADJ_MID")</f>
        <v>3.1598768031918198</v>
      </c>
      <c r="F296">
        <f>_xll.BDP($C296,"OAS_SPREAD_DUR_MID")</f>
        <v>3.1636580880982166</v>
      </c>
      <c r="G296" t="str">
        <f>_xll.BDP($C296,"MATURITY")</f>
        <v>12/31/2029</v>
      </c>
      <c r="H296" t="str">
        <f>_xll.BDP($C296,"RTG_SP")</f>
        <v>#N/A N/A</v>
      </c>
    </row>
    <row r="297" spans="1:8" x14ac:dyDescent="0.25">
      <c r="A297" s="1" t="s">
        <v>139</v>
      </c>
      <c r="B297" s="1" t="s">
        <v>1577</v>
      </c>
      <c r="C297" s="1" t="s">
        <v>1578</v>
      </c>
      <c r="D297" s="1" t="s">
        <v>1579</v>
      </c>
      <c r="E297">
        <f>_xll.BDP($C297,"DUR_ADJ_MID")</f>
        <v>3.2504148232351304</v>
      </c>
      <c r="F297">
        <f>_xll.BDP($C297,"OAS_SPREAD_DUR_MID")</f>
        <v>3.2534143218256482</v>
      </c>
      <c r="G297" t="str">
        <f>_xll.BDP($C297,"MATURITY")</f>
        <v>1/31/2030</v>
      </c>
      <c r="H297" t="str">
        <f>_xll.BDP($C297,"RTG_SP")</f>
        <v>#N/A N/A</v>
      </c>
    </row>
    <row r="298" spans="1:8" x14ac:dyDescent="0.25">
      <c r="A298" s="1" t="s">
        <v>139</v>
      </c>
      <c r="B298" s="1" t="s">
        <v>1580</v>
      </c>
      <c r="C298" s="1" t="s">
        <v>1581</v>
      </c>
      <c r="D298" s="1" t="s">
        <v>1582</v>
      </c>
      <c r="E298">
        <f>_xll.BDP($C298,"DUR_ADJ_MID")</f>
        <v>4.8402489074790118</v>
      </c>
      <c r="F298">
        <f>_xll.BDP($C298,"OAS_SPREAD_DUR_MID")</f>
        <v>4.8412175729276381</v>
      </c>
      <c r="G298" t="str">
        <f>_xll.BDP($C298,"MATURITY")</f>
        <v>1/31/2032</v>
      </c>
      <c r="H298" t="str">
        <f>_xll.BDP($C298,"RTG_SP")</f>
        <v>#N/A N/A</v>
      </c>
    </row>
    <row r="299" spans="1:8" x14ac:dyDescent="0.25">
      <c r="A299" s="1" t="s">
        <v>139</v>
      </c>
      <c r="B299" s="1" t="s">
        <v>1583</v>
      </c>
      <c r="C299" s="1" t="s">
        <v>1584</v>
      </c>
      <c r="D299" s="1" t="s">
        <v>1585</v>
      </c>
      <c r="E299">
        <f>_xll.BDP($C299,"DUR_ADJ_MID")</f>
        <v>4.9498062901727096</v>
      </c>
      <c r="F299">
        <f>_xll.BDP($C299,"OAS_SPREAD_DUR_MID")</f>
        <v>4.9478748173070422</v>
      </c>
      <c r="G299" t="str">
        <f>_xll.BDP($C299,"MATURITY")</f>
        <v>2/29/2032</v>
      </c>
      <c r="H299" t="str">
        <f>_xll.BDP($C299,"RTG_SP")</f>
        <v>#N/A N/A</v>
      </c>
    </row>
    <row r="300" spans="1:8" x14ac:dyDescent="0.25">
      <c r="A300" s="1" t="s">
        <v>139</v>
      </c>
      <c r="B300" s="1" t="s">
        <v>1586</v>
      </c>
      <c r="C300" s="1" t="s">
        <v>1587</v>
      </c>
      <c r="D300" s="1" t="s">
        <v>1588</v>
      </c>
      <c r="E300">
        <f>_xll.BDP($C300,"DUR_ADJ_MID")</f>
        <v>5.0308546345909555</v>
      </c>
      <c r="F300">
        <f>_xll.BDP($C300,"OAS_SPREAD_DUR_MID")</f>
        <v>5.03045120511951</v>
      </c>
      <c r="G300" t="str">
        <f>_xll.BDP($C300,"MATURITY")</f>
        <v>3/31/2032</v>
      </c>
      <c r="H300" t="str">
        <f>_xll.BDP($C300,"RTG_SP")</f>
        <v>#N/A N/A</v>
      </c>
    </row>
    <row r="301" spans="1:8" x14ac:dyDescent="0.25">
      <c r="A301" s="1" t="s">
        <v>139</v>
      </c>
      <c r="B301" s="1" t="s">
        <v>1589</v>
      </c>
      <c r="C301" s="1" t="s">
        <v>1590</v>
      </c>
      <c r="D301" s="1" t="s">
        <v>1591</v>
      </c>
      <c r="E301">
        <f>_xll.BDP($C301,"DUR_ADJ_MID")</f>
        <v>3.4263857477462736</v>
      </c>
      <c r="F301">
        <f>_xll.BDP($C301,"OAS_SPREAD_DUR_MID")</f>
        <v>3.425767877814383</v>
      </c>
      <c r="G301" t="str">
        <f>_xll.BDP($C301,"MATURITY")</f>
        <v>3/31/2030</v>
      </c>
      <c r="H301" t="str">
        <f>_xll.BDP($C301,"RTG_SP")</f>
        <v>#N/A N/A</v>
      </c>
    </row>
    <row r="302" spans="1:8" x14ac:dyDescent="0.25">
      <c r="A302" s="1" t="s">
        <v>139</v>
      </c>
      <c r="B302" s="1" t="s">
        <v>1592</v>
      </c>
      <c r="C302" s="1" t="s">
        <v>1593</v>
      </c>
      <c r="D302" s="1" t="s">
        <v>1594</v>
      </c>
      <c r="E302">
        <f>_xll.BDP($C302,"DUR_ADJ_MID")</f>
        <v>3.5144437478556196</v>
      </c>
      <c r="F302">
        <f>_xll.BDP($C302,"OAS_SPREAD_DUR_MID")</f>
        <v>3.5133538168288463</v>
      </c>
      <c r="G302" t="str">
        <f>_xll.BDP($C302,"MATURITY")</f>
        <v>4/30/2030</v>
      </c>
      <c r="H302" t="str">
        <f>_xll.BDP($C302,"RTG_SP")</f>
        <v>#N/A N/A</v>
      </c>
    </row>
    <row r="303" spans="1:8" x14ac:dyDescent="0.25">
      <c r="A303" s="1" t="s">
        <v>139</v>
      </c>
      <c r="B303" s="1" t="s">
        <v>1595</v>
      </c>
      <c r="C303" s="1" t="s">
        <v>1596</v>
      </c>
      <c r="D303" s="1" t="s">
        <v>1597</v>
      </c>
      <c r="E303">
        <f>_xll.BDP($C303,"DUR_ADJ_MID")</f>
        <v>5.1263600479292091</v>
      </c>
      <c r="F303">
        <f>_xll.BDP($C303,"OAS_SPREAD_DUR_MID")</f>
        <v>5.1255516346119698</v>
      </c>
      <c r="G303" t="str">
        <f>_xll.BDP($C303,"MATURITY")</f>
        <v>4/30/2032</v>
      </c>
      <c r="H303" t="str">
        <f>_xll.BDP($C303,"RTG_SP")</f>
        <v>#N/A N/A</v>
      </c>
    </row>
    <row r="304" spans="1:8" x14ac:dyDescent="0.25">
      <c r="A304" s="1" t="s">
        <v>139</v>
      </c>
      <c r="B304" s="1" t="s">
        <v>1598</v>
      </c>
      <c r="C304" s="1" t="s">
        <v>1599</v>
      </c>
      <c r="D304" s="1" t="s">
        <v>1600</v>
      </c>
      <c r="E304">
        <f>_xll.BDP($C304,"DUR_ADJ_MID")</f>
        <v>5.1935444414691592</v>
      </c>
      <c r="F304">
        <f>_xll.BDP($C304,"OAS_SPREAD_DUR_MID")</f>
        <v>5.193330722752207</v>
      </c>
      <c r="G304" t="str">
        <f>_xll.BDP($C304,"MATURITY")</f>
        <v>5/31/2032</v>
      </c>
      <c r="H304" t="str">
        <f>_xll.BDP($C304,"RTG_SP")</f>
        <v>#N/A N/A</v>
      </c>
    </row>
    <row r="305" spans="1:8" x14ac:dyDescent="0.25">
      <c r="A305" s="1" t="s">
        <v>139</v>
      </c>
      <c r="B305" s="1" t="s">
        <v>1601</v>
      </c>
      <c r="C305" s="1" t="s">
        <v>1602</v>
      </c>
      <c r="D305" s="1" t="s">
        <v>1603</v>
      </c>
      <c r="E305">
        <f>_xll.BDP($C305,"DUR_ADJ_MID")</f>
        <v>3.5895300211785721</v>
      </c>
      <c r="F305">
        <f>_xll.BDP($C305,"OAS_SPREAD_DUR_MID")</f>
        <v>3.5892424717487934</v>
      </c>
      <c r="G305" t="str">
        <f>_xll.BDP($C305,"MATURITY")</f>
        <v>5/31/2030</v>
      </c>
      <c r="H305" t="str">
        <f>_xll.BDP($C305,"RTG_SP")</f>
        <v>#N/A N/A</v>
      </c>
    </row>
    <row r="306" spans="1:8" x14ac:dyDescent="0.25">
      <c r="A306" s="1" t="s">
        <v>139</v>
      </c>
      <c r="B306" s="1" t="s">
        <v>1604</v>
      </c>
      <c r="C306" s="1" t="s">
        <v>1605</v>
      </c>
      <c r="D306" s="1" t="s">
        <v>1606</v>
      </c>
      <c r="E306">
        <f>_xll.BDP($C306,"DUR_ADJ_MID")</f>
        <v>5.1837915349173596</v>
      </c>
      <c r="F306">
        <f>_xll.BDP($C306,"OAS_SPREAD_DUR_MID")</f>
        <v>5.1839069766990873</v>
      </c>
      <c r="G306" t="str">
        <f>_xll.BDP($C306,"MATURITY")</f>
        <v>6/30/2032</v>
      </c>
      <c r="H306" t="str">
        <f>_xll.BDP($C306,"RTG_SP")</f>
        <v>#N/A N/A</v>
      </c>
    </row>
    <row r="307" spans="1:8" x14ac:dyDescent="0.25">
      <c r="A307" s="1" t="s">
        <v>139</v>
      </c>
      <c r="B307" s="1" t="s">
        <v>1607</v>
      </c>
      <c r="C307" s="1" t="s">
        <v>1608</v>
      </c>
      <c r="D307" s="1" t="s">
        <v>1609</v>
      </c>
      <c r="E307">
        <f>_xll.BDP($C307,"DUR_ADJ_MID")</f>
        <v>3.6064441040423221</v>
      </c>
      <c r="F307">
        <f>_xll.BDP($C307,"OAS_SPREAD_DUR_MID")</f>
        <v>3.6064166217046538</v>
      </c>
      <c r="G307" t="str">
        <f>_xll.BDP($C307,"MATURITY")</f>
        <v>6/30/2030</v>
      </c>
      <c r="H307" t="str">
        <f>_xll.BDP($C307,"RTG_SP")</f>
        <v>#N/A N/A</v>
      </c>
    </row>
    <row r="308" spans="1:8" x14ac:dyDescent="0.25">
      <c r="A308" s="1" t="s">
        <v>139</v>
      </c>
      <c r="B308" s="1" t="s">
        <v>1610</v>
      </c>
      <c r="C308" s="1" t="s">
        <v>1611</v>
      </c>
      <c r="D308" s="1" t="s">
        <v>1612</v>
      </c>
      <c r="E308">
        <f>_xll.BDP($C308,"DUR_ADJ_MID")</f>
        <v>3.6903869732811323</v>
      </c>
      <c r="F308">
        <f>_xll.BDP($C308,"OAS_SPREAD_DUR_MID")</f>
        <v>3.6895590450838087</v>
      </c>
      <c r="G308" t="str">
        <f>_xll.BDP($C308,"MATURITY")</f>
        <v>7/31/2030</v>
      </c>
      <c r="H308" t="str">
        <f>_xll.BDP($C308,"RTG_SP")</f>
        <v>#N/A N/A</v>
      </c>
    </row>
    <row r="309" spans="1:8" x14ac:dyDescent="0.25">
      <c r="A309" s="1" t="s">
        <v>139</v>
      </c>
      <c r="B309" s="1" t="s">
        <v>1613</v>
      </c>
      <c r="C309" s="1" t="s">
        <v>1614</v>
      </c>
      <c r="D309" s="1" t="s">
        <v>1615</v>
      </c>
      <c r="E309">
        <f>_xll.BDP($C309,"DUR_ADJ_MID")</f>
        <v>5.2673032061209657</v>
      </c>
      <c r="F309">
        <f>_xll.BDP($C309,"OAS_SPREAD_DUR_MID")</f>
        <v>5.2665234358447828</v>
      </c>
      <c r="G309" t="str">
        <f>_xll.BDP($C309,"MATURITY")</f>
        <v>7/31/2032</v>
      </c>
      <c r="H309" t="str">
        <f>_xll.BDP($C309,"RTG_SP")</f>
        <v>#N/A N/A</v>
      </c>
    </row>
    <row r="310" spans="1:8" x14ac:dyDescent="0.25">
      <c r="A310" s="1" t="s">
        <v>139</v>
      </c>
      <c r="B310" s="1" t="s">
        <v>1616</v>
      </c>
      <c r="C310" s="1" t="s">
        <v>1617</v>
      </c>
      <c r="D310" s="1" t="s">
        <v>1618</v>
      </c>
      <c r="E310">
        <f>_xll.BDP($C310,"DUR_ADJ_MID")</f>
        <v>5.3651321514351897</v>
      </c>
      <c r="F310">
        <f>_xll.BDP($C310,"OAS_SPREAD_DUR_MID")</f>
        <v>5.3656821005711128</v>
      </c>
      <c r="G310" t="str">
        <f>_xll.BDP($C310,"MATURITY")</f>
        <v>8/31/2032</v>
      </c>
      <c r="H310" t="str">
        <f>_xll.BDP($C310,"RTG_SP")</f>
        <v>#N/A N/A</v>
      </c>
    </row>
    <row r="311" spans="1:8" x14ac:dyDescent="0.25">
      <c r="A311" s="1" t="s">
        <v>139</v>
      </c>
      <c r="B311" s="1" t="s">
        <v>1619</v>
      </c>
      <c r="C311" s="1" t="s">
        <v>1620</v>
      </c>
      <c r="D311" s="1" t="s">
        <v>1621</v>
      </c>
      <c r="E311">
        <f>_xll.BDP($C311,"DUR_ADJ_MID")</f>
        <v>3.7889138426636442</v>
      </c>
      <c r="F311">
        <f>_xll.BDP($C311,"OAS_SPREAD_DUR_MID")</f>
        <v>3.7897329645900286</v>
      </c>
      <c r="G311" t="str">
        <f>_xll.BDP($C311,"MATURITY")</f>
        <v>8/31/2030</v>
      </c>
      <c r="H311" t="str">
        <f>_xll.BDP($C311,"RTG_SP")</f>
        <v>#N/A N/A</v>
      </c>
    </row>
    <row r="312" spans="1:8" x14ac:dyDescent="0.25">
      <c r="A312" s="1" t="s">
        <v>139</v>
      </c>
      <c r="B312" s="1" t="s">
        <v>1622</v>
      </c>
      <c r="C312" s="1" t="s">
        <v>1623</v>
      </c>
      <c r="D312" s="1" t="s">
        <v>1624</v>
      </c>
      <c r="E312">
        <f>_xll.BDP($C312,"DUR_ADJ_MID")</f>
        <v>5.446173245214915</v>
      </c>
      <c r="F312">
        <f>_xll.BDP($C312,"OAS_SPREAD_DUR_MID")</f>
        <v>5.4461081175061068</v>
      </c>
      <c r="G312" t="str">
        <f>_xll.BDP($C312,"MATURITY")</f>
        <v>9/30/2032</v>
      </c>
      <c r="H312" t="str">
        <f>_xll.BDP($C312,"RTG_SP")</f>
        <v>#N/A N/A</v>
      </c>
    </row>
    <row r="313" spans="1:8" x14ac:dyDescent="0.25">
      <c r="A313" s="1" t="s">
        <v>139</v>
      </c>
      <c r="B313" s="1" t="s">
        <v>1625</v>
      </c>
      <c r="C313" s="1" t="s">
        <v>1626</v>
      </c>
      <c r="D313" s="1" t="s">
        <v>1627</v>
      </c>
      <c r="E313">
        <f>_xll.BDP($C313,"DUR_ADJ_MID")</f>
        <v>3.8702128333974208</v>
      </c>
      <c r="F313">
        <f>_xll.BDP($C313,"OAS_SPREAD_DUR_MID")</f>
        <v>3.8703921972127766</v>
      </c>
      <c r="G313" t="str">
        <f>_xll.BDP($C313,"MATURITY")</f>
        <v>9/30/2030</v>
      </c>
      <c r="H313" t="str">
        <f>_xll.BDP($C313,"RTG_SP")</f>
        <v>#N/A N/A</v>
      </c>
    </row>
    <row r="314" spans="1:8" x14ac:dyDescent="0.25">
      <c r="A314" s="1" t="s">
        <v>139</v>
      </c>
      <c r="B314" s="1" t="s">
        <v>1628</v>
      </c>
      <c r="C314" s="1" t="s">
        <v>1629</v>
      </c>
      <c r="D314" s="1" t="s">
        <v>1630</v>
      </c>
      <c r="E314">
        <f>_xll.BDP($C314,"DUR_ADJ_MID")</f>
        <v>3.9512637993263202</v>
      </c>
      <c r="F314">
        <f>_xll.BDP($C314,"OAS_SPREAD_DUR_MID")</f>
        <v>3.9533129374077212</v>
      </c>
      <c r="G314" t="str">
        <f>_xll.BDP($C314,"MATURITY")</f>
        <v>10/31/2030</v>
      </c>
      <c r="H314" t="str">
        <f>_xll.BDP($C314,"RTG_SP")</f>
        <v>#N/A N/A</v>
      </c>
    </row>
    <row r="315" spans="1:8" x14ac:dyDescent="0.25">
      <c r="A315" s="1" t="s">
        <v>139</v>
      </c>
      <c r="B315" s="1" t="s">
        <v>1631</v>
      </c>
      <c r="C315" s="1" t="s">
        <v>1632</v>
      </c>
      <c r="D315" s="1" t="s">
        <v>1633</v>
      </c>
      <c r="E315">
        <f>_xll.BDP($C315,"DUR_ADJ_MID")</f>
        <v>5.5443094552972845</v>
      </c>
      <c r="F315">
        <f>_xll.BDP($C315,"OAS_SPREAD_DUR_MID")</f>
        <v>5.5459903412564096</v>
      </c>
      <c r="G315" t="str">
        <f>_xll.BDP($C315,"MATURITY")</f>
        <v>10/31/2032</v>
      </c>
      <c r="H315" t="str">
        <f>_xll.BDP($C315,"RTG_SP")</f>
        <v>#N/A N/A</v>
      </c>
    </row>
    <row r="316" spans="1:8" x14ac:dyDescent="0.25">
      <c r="A316" s="1" t="s">
        <v>139</v>
      </c>
      <c r="B316" s="1" t="s">
        <v>1634</v>
      </c>
      <c r="C316" s="1" t="s">
        <v>1635</v>
      </c>
      <c r="D316" s="1" t="s">
        <v>1636</v>
      </c>
      <c r="E316">
        <f>_xll.BDP($C316,"DUR_ADJ_MID")</f>
        <v>5.6262588746091993</v>
      </c>
      <c r="F316">
        <f>_xll.BDP($C316,"OAS_SPREAD_DUR_MID")</f>
        <v>5.6264075295141174</v>
      </c>
      <c r="G316" t="str">
        <f>_xll.BDP($C316,"MATURITY")</f>
        <v>11/30/2032</v>
      </c>
      <c r="H316" t="str">
        <f>_xll.BDP($C316,"RTG_SP")</f>
        <v>#N/A N/A</v>
      </c>
    </row>
    <row r="317" spans="1:8" x14ac:dyDescent="0.25">
      <c r="A317" s="1" t="s">
        <v>139</v>
      </c>
      <c r="B317" s="1" t="s">
        <v>1637</v>
      </c>
      <c r="C317" s="1" t="s">
        <v>1638</v>
      </c>
      <c r="D317" s="1" t="s">
        <v>1639</v>
      </c>
      <c r="E317">
        <f>_xll.BDP($C317,"DUR_ADJ_MID")</f>
        <v>4.0423762291788199</v>
      </c>
      <c r="F317">
        <f>_xll.BDP($C317,"OAS_SPREAD_DUR_MID")</f>
        <v>4.0428939454120218</v>
      </c>
      <c r="G317" t="str">
        <f>_xll.BDP($C317,"MATURITY")</f>
        <v>11/30/2030</v>
      </c>
      <c r="H317" t="str">
        <f>_xll.BDP($C317,"RTG_SP")</f>
        <v>#N/A N/A</v>
      </c>
    </row>
    <row r="318" spans="1:8" x14ac:dyDescent="0.25">
      <c r="A318" s="1" t="s">
        <v>139</v>
      </c>
      <c r="B318" s="1" t="s">
        <v>1640</v>
      </c>
      <c r="C318" s="1" t="s">
        <v>1641</v>
      </c>
      <c r="D318" s="1" t="s">
        <v>1642</v>
      </c>
      <c r="E318">
        <f>_xll.BDP($C318,"DUR_ADJ_MID")</f>
        <v>5.5788413234945207</v>
      </c>
      <c r="F318">
        <f>_xll.BDP($C318,"OAS_SPREAD_DUR_MID")</f>
        <v>5.5813163722658183</v>
      </c>
      <c r="G318" t="str">
        <f>_xll.BDP($C318,"MATURITY")</f>
        <v>12/31/2032</v>
      </c>
      <c r="H318" t="str">
        <f>_xll.BDP($C318,"RTG_SP")</f>
        <v>#N/A N/A</v>
      </c>
    </row>
    <row r="319" spans="1:8" x14ac:dyDescent="0.25">
      <c r="A319" s="1" t="s">
        <v>139</v>
      </c>
      <c r="B319" s="1" t="s">
        <v>1643</v>
      </c>
      <c r="C319" s="1" t="s">
        <v>1644</v>
      </c>
      <c r="D319" s="1" t="s">
        <v>1645</v>
      </c>
      <c r="E319">
        <f>_xll.BDP($C319,"DUR_ADJ_MID")</f>
        <v>4.0391203628243675</v>
      </c>
      <c r="F319">
        <f>_xll.BDP($C319,"OAS_SPREAD_DUR_MID")</f>
        <v>4.0421710700769955</v>
      </c>
      <c r="G319" t="str">
        <f>_xll.BDP($C319,"MATURITY")</f>
        <v>12/31/2030</v>
      </c>
      <c r="H319" t="str">
        <f>_xll.BDP($C319,"RTG_SP")</f>
        <v>#N/A N/A</v>
      </c>
    </row>
    <row r="320" spans="1:8" x14ac:dyDescent="0.25">
      <c r="A320" s="1" t="s">
        <v>139</v>
      </c>
      <c r="B320" s="1" t="s">
        <v>1646</v>
      </c>
      <c r="C320" s="1" t="s">
        <v>1647</v>
      </c>
      <c r="D320" s="1" t="s">
        <v>1648</v>
      </c>
      <c r="E320">
        <f>_xll.BDP($C320,"DUR_ADJ_MID")</f>
        <v>4.1120791342256124</v>
      </c>
      <c r="F320">
        <f>_xll.BDP($C320,"OAS_SPREAD_DUR_MID")</f>
        <v>4.1143089836479403</v>
      </c>
      <c r="G320" t="str">
        <f>_xll.BDP($C320,"MATURITY")</f>
        <v>1/31/2031</v>
      </c>
      <c r="H320" t="str">
        <f>_xll.BDP($C320,"RTG_SP")</f>
        <v>#N/A N/A</v>
      </c>
    </row>
    <row r="321" spans="1:8" x14ac:dyDescent="0.25">
      <c r="A321" s="1" t="s">
        <v>139</v>
      </c>
      <c r="B321" s="1" t="s">
        <v>1649</v>
      </c>
      <c r="C321" s="1" t="s">
        <v>1650</v>
      </c>
      <c r="D321" s="1" t="s">
        <v>1651</v>
      </c>
      <c r="E321">
        <f>_xll.BDP($C321,"DUR_ADJ_MID")</f>
        <v>5.643117096470335</v>
      </c>
      <c r="F321">
        <f>_xll.BDP($C321,"OAS_SPREAD_DUR_MID")</f>
        <v>5.6446134251290889</v>
      </c>
      <c r="G321" t="str">
        <f>_xll.BDP($C321,"MATURITY")</f>
        <v>1/31/2033</v>
      </c>
      <c r="H321" t="str">
        <f>_xll.BDP($C321,"RTG_SP")</f>
        <v>#N/A N/A</v>
      </c>
    </row>
    <row r="322" spans="1:8" x14ac:dyDescent="0.25">
      <c r="A322" s="1" t="s">
        <v>139</v>
      </c>
      <c r="B322" s="1" t="s">
        <v>1652</v>
      </c>
      <c r="C322" s="1" t="s">
        <v>1653</v>
      </c>
      <c r="D322" s="1" t="s">
        <v>1654</v>
      </c>
      <c r="E322">
        <f>_xll.BDP($C322,"DUR_ADJ_MID")</f>
        <v>5.7632404064778679</v>
      </c>
      <c r="F322">
        <f>_xll.BDP($C322,"OAS_SPREAD_DUR_MID")</f>
        <v>5.7598184437141455</v>
      </c>
      <c r="G322" t="str">
        <f>_xll.BDP($C322,"MATURITY")</f>
        <v>2/28/2033</v>
      </c>
      <c r="H322" t="str">
        <f>_xll.BDP($C322,"RTG_SP")</f>
        <v>#N/A N/A</v>
      </c>
    </row>
    <row r="323" spans="1:8" x14ac:dyDescent="0.25">
      <c r="A323" s="1" t="s">
        <v>139</v>
      </c>
      <c r="B323" s="1" t="s">
        <v>1655</v>
      </c>
      <c r="C323" s="1" t="s">
        <v>1656</v>
      </c>
      <c r="D323" s="1" t="s">
        <v>1657</v>
      </c>
      <c r="E323">
        <f>_xll.BDP($C323,"DUR_ADJ_MID")</f>
        <v>4.2151130199789772</v>
      </c>
      <c r="F323">
        <f>_xll.BDP($C323,"OAS_SPREAD_DUR_MID")</f>
        <v>4.2120798426013417</v>
      </c>
      <c r="G323" t="str">
        <f>_xll.BDP($C323,"MATURITY")</f>
        <v>2/28/2031</v>
      </c>
      <c r="H323" t="str">
        <f>_xll.BDP($C323,"RTG_SP")</f>
        <v>#N/A N/A</v>
      </c>
    </row>
    <row r="324" spans="1:8" x14ac:dyDescent="0.25">
      <c r="A324" s="1" t="s">
        <v>139</v>
      </c>
      <c r="B324" s="1" t="s">
        <v>1658</v>
      </c>
      <c r="C324" s="1" t="s">
        <v>1659</v>
      </c>
      <c r="D324" s="1" t="s">
        <v>1660</v>
      </c>
      <c r="E324">
        <f>_xll.BDP($C324,"DUR_ADJ_MID")</f>
        <v>5.7669920045528089</v>
      </c>
      <c r="F324">
        <f>_xll.BDP($C324,"OAS_SPREAD_DUR_MID")</f>
        <v>5.7648586256655641</v>
      </c>
      <c r="G324" t="str">
        <f>_xll.BDP($C324,"MATURITY")</f>
        <v>3/31/2033</v>
      </c>
      <c r="H324" t="str">
        <f>_xll.BDP($C324,"RTG_SP")</f>
        <v>#N/A N/A</v>
      </c>
    </row>
    <row r="325" spans="1:8" x14ac:dyDescent="0.25">
      <c r="A325" s="1" t="s">
        <v>139</v>
      </c>
      <c r="B325" s="1" t="s">
        <v>1661</v>
      </c>
      <c r="C325" s="1" t="s">
        <v>1662</v>
      </c>
      <c r="D325" s="1" t="s">
        <v>1663</v>
      </c>
      <c r="E325">
        <f>_xll.BDP($C325,"DUR_ADJ_MID")</f>
        <v>4.2635381878024177</v>
      </c>
      <c r="F325">
        <f>_xll.BDP($C325,"OAS_SPREAD_DUR_MID")</f>
        <v>4.2621744657071128</v>
      </c>
      <c r="G325" t="str">
        <f>_xll.BDP($C325,"MATURITY")</f>
        <v>3/31/2031</v>
      </c>
      <c r="H325" t="str">
        <f>_xll.BDP($C325,"RTG_SP")</f>
        <v>#N/A N/A</v>
      </c>
    </row>
    <row r="326" spans="1:8" x14ac:dyDescent="0.25">
      <c r="A326" s="1" t="s">
        <v>139</v>
      </c>
      <c r="B326" s="1" t="s">
        <v>1664</v>
      </c>
      <c r="C326" s="1" t="s">
        <v>1665</v>
      </c>
      <c r="D326" s="1" t="s">
        <v>1666</v>
      </c>
      <c r="E326">
        <f>_xll.BDP($C326,"DUR_ADJ_MID")</f>
        <v>4.3446861491812836</v>
      </c>
      <c r="F326">
        <f>_xll.BDP($C326,"OAS_SPREAD_DUR_MID")</f>
        <v>4.3428938641134263</v>
      </c>
      <c r="G326" t="str">
        <f>_xll.BDP($C326,"MATURITY")</f>
        <v>4/30/2031</v>
      </c>
      <c r="H326" t="str">
        <f>_xll.BDP($C326,"RTG_SP")</f>
        <v>#N/A N/A</v>
      </c>
    </row>
    <row r="327" spans="1:8" x14ac:dyDescent="0.25">
      <c r="A327" s="1" t="s">
        <v>139</v>
      </c>
      <c r="B327" s="1" t="s">
        <v>1667</v>
      </c>
      <c r="C327" s="1" t="s">
        <v>1668</v>
      </c>
      <c r="D327" s="1" t="s">
        <v>1669</v>
      </c>
      <c r="E327">
        <f>_xll.BDP($C327,"DUR_ADJ_MID")</f>
        <v>5.8663916755296555</v>
      </c>
      <c r="F327">
        <f>_xll.BDP($C327,"OAS_SPREAD_DUR_MID")</f>
        <v>5.8638995622650079</v>
      </c>
      <c r="G327" t="str">
        <f>_xll.BDP($C327,"MATURITY")</f>
        <v>4/30/2033</v>
      </c>
      <c r="H327" t="str">
        <f>_xll.BDP($C327,"RTG_SP")</f>
        <v>#N/A N/A</v>
      </c>
    </row>
    <row r="328" spans="1:8" x14ac:dyDescent="0.25">
      <c r="A328" s="1" t="s">
        <v>145</v>
      </c>
      <c r="B328" s="1" t="s">
        <v>1670</v>
      </c>
      <c r="C328" s="1" t="s">
        <v>1671</v>
      </c>
      <c r="D328" s="1" t="s">
        <v>1672</v>
      </c>
      <c r="E328">
        <f>_xll.BDP($C328,"DUR_ADJ_MID")</f>
        <v>1.5371251268883495</v>
      </c>
      <c r="F328">
        <f>_xll.BDP($C328,"OAS_SPREAD_DUR_MID")</f>
        <v>1.5414840086385</v>
      </c>
      <c r="G328" t="str">
        <f>_xll.BDP($C328,"MATURITY")</f>
        <v>2/1/2028</v>
      </c>
      <c r="H328" t="str">
        <f>_xll.BDP($C328,"RTG_SP")</f>
        <v>BBB</v>
      </c>
    </row>
    <row r="329" spans="1:8" x14ac:dyDescent="0.25">
      <c r="A329" s="1" t="s">
        <v>145</v>
      </c>
      <c r="B329" s="1" t="s">
        <v>1673</v>
      </c>
      <c r="C329" s="1" t="s">
        <v>1674</v>
      </c>
      <c r="D329" s="1" t="s">
        <v>1675</v>
      </c>
      <c r="E329">
        <f>_xll.BDP($C329,"DUR_ADJ_MID")</f>
        <v>4.1955289793223107</v>
      </c>
      <c r="F329">
        <f>_xll.BDP($C329,"OAS_SPREAD_DUR_MID")</f>
        <v>4.1609292522167163</v>
      </c>
      <c r="G329" t="str">
        <f>_xll.BDP($C329,"MATURITY")</f>
        <v>3/15/2031</v>
      </c>
      <c r="H329" t="str">
        <f>_xll.BDP($C329,"RTG_SP")</f>
        <v>A+</v>
      </c>
    </row>
    <row r="330" spans="1:8" x14ac:dyDescent="0.25">
      <c r="A330" s="1" t="s">
        <v>145</v>
      </c>
      <c r="B330" s="1" t="s">
        <v>1676</v>
      </c>
      <c r="C330" s="1" t="s">
        <v>1677</v>
      </c>
      <c r="D330" s="1" t="s">
        <v>1678</v>
      </c>
      <c r="E330">
        <f>_xll.BDP($C330,"DUR_ADJ_MID")</f>
        <v>3.1658017685932767</v>
      </c>
      <c r="F330">
        <f>_xll.BDP($C330,"OAS_SPREAD_DUR_MID")</f>
        <v>3.1224980393282471</v>
      </c>
      <c r="G330" t="str">
        <f>_xll.BDP($C330,"MATURITY")</f>
        <v>11/21/2029</v>
      </c>
      <c r="H330" t="str">
        <f>_xll.BDP($C330,"RTG_SP")</f>
        <v>A-</v>
      </c>
    </row>
    <row r="331" spans="1:8" x14ac:dyDescent="0.25">
      <c r="A331" s="1" t="s">
        <v>145</v>
      </c>
      <c r="B331" s="1" t="s">
        <v>1679</v>
      </c>
      <c r="C331" s="1" t="s">
        <v>1680</v>
      </c>
      <c r="D331" s="1" t="s">
        <v>1681</v>
      </c>
      <c r="E331">
        <f>_xll.BDP($C331,"DUR_ADJ_MID")</f>
        <v>3.3555037707805462</v>
      </c>
      <c r="F331">
        <f>_xll.BDP($C331,"OAS_SPREAD_DUR_MID")</f>
        <v>3.3537022052669618</v>
      </c>
      <c r="G331" t="str">
        <f>_xll.BDP($C331,"MATURITY")</f>
        <v>2/1/2030</v>
      </c>
      <c r="H331" t="str">
        <f>_xll.BDP($C331,"RTG_SP")</f>
        <v>A+</v>
      </c>
    </row>
    <row r="332" spans="1:8" x14ac:dyDescent="0.25">
      <c r="A332" s="1" t="s">
        <v>145</v>
      </c>
      <c r="B332" s="1" t="s">
        <v>1682</v>
      </c>
      <c r="C332" s="1" t="s">
        <v>1683</v>
      </c>
      <c r="D332" s="1" t="s">
        <v>1684</v>
      </c>
      <c r="E332">
        <f>_xll.BDP($C332,"DUR_ADJ_MID")</f>
        <v>3.965114325676784</v>
      </c>
      <c r="F332">
        <f>_xll.BDP($C332,"OAS_SPREAD_DUR_MID")</f>
        <v>3.8508297225416093</v>
      </c>
      <c r="G332" t="str">
        <f>_xll.BDP($C332,"MATURITY")</f>
        <v>12/15/2030</v>
      </c>
      <c r="H332" t="str">
        <f>_xll.BDP($C332,"RTG_SP")</f>
        <v>BBB+</v>
      </c>
    </row>
    <row r="333" spans="1:8" x14ac:dyDescent="0.25">
      <c r="A333" s="1" t="s">
        <v>145</v>
      </c>
      <c r="B333" s="1" t="s">
        <v>1685</v>
      </c>
      <c r="C333" s="1" t="s">
        <v>1686</v>
      </c>
      <c r="D333" s="1" t="s">
        <v>1687</v>
      </c>
      <c r="E333">
        <f>_xll.BDP($C333,"DUR_ADJ_MID")</f>
        <v>1.3892380143784926</v>
      </c>
      <c r="F333">
        <f>_xll.BDP($C333,"OAS_SPREAD_DUR_MID")</f>
        <v>1.3557675603394959</v>
      </c>
      <c r="G333" t="str">
        <f>_xll.BDP($C333,"MATURITY")</f>
        <v>12/6/2027</v>
      </c>
      <c r="H333" t="str">
        <f>_xll.BDP($C333,"RTG_SP")</f>
        <v>A+</v>
      </c>
    </row>
    <row r="334" spans="1:8" x14ac:dyDescent="0.25">
      <c r="A334" s="1" t="s">
        <v>145</v>
      </c>
      <c r="B334" s="1" t="s">
        <v>1688</v>
      </c>
      <c r="C334" s="1" t="s">
        <v>1689</v>
      </c>
      <c r="D334" s="1" t="s">
        <v>1690</v>
      </c>
      <c r="E334">
        <f>_xll.BDP($C334,"DUR_ADJ_MID")</f>
        <v>3.5604578308437529</v>
      </c>
      <c r="F334">
        <f>_xll.BDP($C334,"OAS_SPREAD_DUR_MID")</f>
        <v>3.481828728286569</v>
      </c>
      <c r="G334" t="str">
        <f>_xll.BDP($C334,"MATURITY")</f>
        <v>5/15/2030</v>
      </c>
      <c r="H334" t="str">
        <f>_xll.BDP($C334,"RTG_SP")</f>
        <v>AA</v>
      </c>
    </row>
    <row r="335" spans="1:8" x14ac:dyDescent="0.25">
      <c r="A335" s="1" t="s">
        <v>145</v>
      </c>
      <c r="B335" s="1" t="s">
        <v>1691</v>
      </c>
      <c r="C335" s="1" t="s">
        <v>1692</v>
      </c>
      <c r="D335" s="1" t="s">
        <v>1693</v>
      </c>
      <c r="E335">
        <f>_xll.BDP($C335,"DUR_ADJ_MID")</f>
        <v>4.1096736853742506</v>
      </c>
      <c r="F335">
        <f>_xll.BDP($C335,"OAS_SPREAD_DUR_MID")</f>
        <v>4.0815056923667488</v>
      </c>
      <c r="G335" t="str">
        <f>_xll.BDP($C335,"MATURITY")</f>
        <v>2/15/2031</v>
      </c>
      <c r="H335" t="str">
        <f>_xll.BDP($C335,"RTG_SP")</f>
        <v>AA+</v>
      </c>
    </row>
    <row r="336" spans="1:8" x14ac:dyDescent="0.25">
      <c r="A336" s="1" t="s">
        <v>145</v>
      </c>
      <c r="B336" s="1" t="s">
        <v>1694</v>
      </c>
      <c r="C336" s="1" t="s">
        <v>1695</v>
      </c>
      <c r="D336" s="1" t="s">
        <v>1696</v>
      </c>
      <c r="E336">
        <f>_xll.BDP($C336,"DUR_ADJ_MID")</f>
        <v>2.191003122604454</v>
      </c>
      <c r="F336">
        <f>_xll.BDP($C336,"OAS_SPREAD_DUR_MID")</f>
        <v>2.2798991055384126</v>
      </c>
      <c r="G336" t="str">
        <f>_xll.BDP($C336,"MATURITY")</f>
        <v>2/14/2029</v>
      </c>
      <c r="H336" t="str">
        <f>_xll.BDP($C336,"RTG_SP")</f>
        <v>BBB+</v>
      </c>
    </row>
    <row r="337" spans="1:8" x14ac:dyDescent="0.25">
      <c r="A337" s="1" t="s">
        <v>145</v>
      </c>
      <c r="B337" s="1" t="s">
        <v>1697</v>
      </c>
      <c r="C337" s="1" t="s">
        <v>1698</v>
      </c>
      <c r="D337" s="1" t="s">
        <v>1699</v>
      </c>
      <c r="E337">
        <f>_xll.BDP($C337,"DUR_ADJ_MID")</f>
        <v>4.1716375395099075</v>
      </c>
      <c r="F337">
        <f>_xll.BDP($C337,"OAS_SPREAD_DUR_MID")</f>
        <v>4.1341604076358927</v>
      </c>
      <c r="G337" t="str">
        <f>_xll.BDP($C337,"MATURITY")</f>
        <v>3/13/2031</v>
      </c>
      <c r="H337" t="str">
        <f>_xll.BDP($C337,"RTG_SP")</f>
        <v>AA</v>
      </c>
    </row>
    <row r="338" spans="1:8" x14ac:dyDescent="0.25">
      <c r="A338" s="1" t="s">
        <v>145</v>
      </c>
      <c r="B338" s="1" t="s">
        <v>1700</v>
      </c>
      <c r="C338" s="1" t="s">
        <v>1701</v>
      </c>
      <c r="D338" s="1" t="s">
        <v>1702</v>
      </c>
      <c r="E338">
        <f>_xll.BDP($C338,"DUR_ADJ_MID")</f>
        <v>1.7234004785763983</v>
      </c>
      <c r="F338" t="str">
        <f>_xll.BDP($C338,"OAS_SPREAD_DUR_MID")</f>
        <v>#N/A Field Not Applicable</v>
      </c>
      <c r="G338" t="str">
        <f>_xll.BDP($C338,"MATURITY")</f>
        <v>4/25/2029</v>
      </c>
      <c r="H338" t="str">
        <f>_xll.BDP($C338,"RTG_SP")</f>
        <v>A-</v>
      </c>
    </row>
    <row r="339" spans="1:8" x14ac:dyDescent="0.25">
      <c r="A339" s="1" t="s">
        <v>145</v>
      </c>
      <c r="B339" s="1" t="s">
        <v>1703</v>
      </c>
      <c r="C339" s="1" t="s">
        <v>1704</v>
      </c>
      <c r="D339" s="1" t="s">
        <v>1705</v>
      </c>
      <c r="E339">
        <f>_xll.BDP($C339,"DUR_ADJ_MID")</f>
        <v>2.0434182608116194</v>
      </c>
      <c r="F339">
        <f>_xll.BDP($C339,"OAS_SPREAD_DUR_MID")</f>
        <v>1.9767995176593416</v>
      </c>
      <c r="G339" t="str">
        <f>_xll.BDP($C339,"MATURITY")</f>
        <v>9/1/2028</v>
      </c>
      <c r="H339" t="str">
        <f>_xll.BDP($C339,"RTG_SP")</f>
        <v>A</v>
      </c>
    </row>
    <row r="340" spans="1:8" x14ac:dyDescent="0.25">
      <c r="A340" s="1" t="s">
        <v>145</v>
      </c>
      <c r="B340" s="1" t="s">
        <v>1706</v>
      </c>
      <c r="C340" s="1" t="s">
        <v>1707</v>
      </c>
      <c r="D340" s="1" t="s">
        <v>1708</v>
      </c>
      <c r="E340">
        <f>_xll.BDP($C340,"DUR_ADJ_MID")</f>
        <v>1.4990275939099014</v>
      </c>
      <c r="F340">
        <f>_xll.BDP($C340,"OAS_SPREAD_DUR_MID")</f>
        <v>1.5233895681967835</v>
      </c>
      <c r="G340" t="str">
        <f>_xll.BDP($C340,"MATURITY")</f>
        <v>3/2/2028</v>
      </c>
      <c r="H340" t="str">
        <f>_xll.BDP($C340,"RTG_SP")</f>
        <v>BBB+</v>
      </c>
    </row>
    <row r="341" spans="1:8" x14ac:dyDescent="0.25">
      <c r="A341" s="1" t="s">
        <v>145</v>
      </c>
      <c r="B341" s="1" t="s">
        <v>1709</v>
      </c>
      <c r="C341" s="1" t="s">
        <v>1710</v>
      </c>
      <c r="D341" s="1" t="s">
        <v>1711</v>
      </c>
      <c r="E341">
        <f>_xll.BDP($C341,"DUR_ADJ_MID")</f>
        <v>1.8570597566432252</v>
      </c>
      <c r="F341">
        <f>_xll.BDP($C341,"OAS_SPREAD_DUR_MID")</f>
        <v>1.8220335613115171</v>
      </c>
      <c r="G341" t="str">
        <f>_xll.BDP($C341,"MATURITY")</f>
        <v>6/12/2028</v>
      </c>
      <c r="H341" t="str">
        <f>_xll.BDP($C341,"RTG_SP")</f>
        <v>A-</v>
      </c>
    </row>
    <row r="342" spans="1:8" x14ac:dyDescent="0.25">
      <c r="A342" s="1" t="s">
        <v>145</v>
      </c>
      <c r="B342" s="1" t="s">
        <v>1712</v>
      </c>
      <c r="C342" s="1" t="s">
        <v>1713</v>
      </c>
      <c r="D342" s="1" t="s">
        <v>1714</v>
      </c>
      <c r="E342">
        <f>_xll.BDP($C342,"DUR_ADJ_MID")</f>
        <v>3.6128140640867503</v>
      </c>
      <c r="F342">
        <f>_xll.BDP($C342,"OAS_SPREAD_DUR_MID")</f>
        <v>3.5424628620183021</v>
      </c>
      <c r="G342" t="str">
        <f>_xll.BDP($C342,"MATURITY")</f>
        <v>6/1/2030</v>
      </c>
      <c r="H342" t="str">
        <f>_xll.BDP($C342,"RTG_SP")</f>
        <v>A-</v>
      </c>
    </row>
    <row r="343" spans="1:8" x14ac:dyDescent="0.25">
      <c r="A343" s="1" t="s">
        <v>145</v>
      </c>
      <c r="B343" s="1" t="s">
        <v>1715</v>
      </c>
      <c r="C343" s="1" t="s">
        <v>1716</v>
      </c>
      <c r="D343" s="1" t="s">
        <v>1717</v>
      </c>
      <c r="E343">
        <f>_xll.BDP($C343,"DUR_ADJ_MID")</f>
        <v>4.3252789889311325</v>
      </c>
      <c r="F343">
        <f>_xll.BDP($C343,"OAS_SPREAD_DUR_MID")</f>
        <v>4.3062006651662177</v>
      </c>
      <c r="G343" t="str">
        <f>_xll.BDP($C343,"MATURITY")</f>
        <v>3/15/2031</v>
      </c>
      <c r="H343" t="str">
        <f>_xll.BDP($C343,"RTG_SP")</f>
        <v>A-</v>
      </c>
    </row>
    <row r="344" spans="1:8" x14ac:dyDescent="0.25">
      <c r="A344" s="1" t="s">
        <v>145</v>
      </c>
      <c r="B344" s="1" t="s">
        <v>1718</v>
      </c>
      <c r="C344" s="1" t="s">
        <v>1719</v>
      </c>
      <c r="D344" s="1" t="s">
        <v>1720</v>
      </c>
      <c r="E344">
        <f>_xll.BDP($C344,"DUR_ADJ_MID")</f>
        <v>4.3283561749785049</v>
      </c>
      <c r="F344">
        <f>_xll.BDP($C344,"OAS_SPREAD_DUR_MID")</f>
        <v>4.3288706110247981</v>
      </c>
      <c r="G344" t="str">
        <f>_xll.BDP($C344,"MATURITY")</f>
        <v>2/8/2031</v>
      </c>
      <c r="H344" t="str">
        <f>_xll.BDP($C344,"RTG_SP")</f>
        <v>AA+</v>
      </c>
    </row>
    <row r="345" spans="1:8" x14ac:dyDescent="0.25">
      <c r="A345" s="1" t="s">
        <v>145</v>
      </c>
      <c r="B345" s="1" t="s">
        <v>1721</v>
      </c>
      <c r="C345" s="1" t="s">
        <v>1722</v>
      </c>
      <c r="D345" s="1" t="s">
        <v>1723</v>
      </c>
      <c r="E345">
        <f>_xll.BDP($C345,"DUR_ADJ_MID")</f>
        <v>1.8777109982591453</v>
      </c>
      <c r="F345">
        <f>_xll.BDP($C345,"OAS_SPREAD_DUR_MID")</f>
        <v>1.8782550200911428</v>
      </c>
      <c r="G345" t="str">
        <f>_xll.BDP($C345,"MATURITY")</f>
        <v>6/15/2028</v>
      </c>
      <c r="H345" t="str">
        <f>_xll.BDP($C345,"RTG_SP")</f>
        <v>BBB</v>
      </c>
    </row>
    <row r="346" spans="1:8" x14ac:dyDescent="0.25">
      <c r="A346" s="1" t="s">
        <v>145</v>
      </c>
      <c r="B346" s="1" t="s">
        <v>1724</v>
      </c>
      <c r="C346" s="1" t="s">
        <v>1725</v>
      </c>
      <c r="D346" s="1" t="s">
        <v>1726</v>
      </c>
      <c r="E346">
        <f>_xll.BDP($C346,"DUR_ADJ_MID")</f>
        <v>2.339089852154892</v>
      </c>
      <c r="F346">
        <f>_xll.BDP($C346,"OAS_SPREAD_DUR_MID")</f>
        <v>2.3636353553288871</v>
      </c>
      <c r="G346" t="str">
        <f>_xll.BDP($C346,"MATURITY")</f>
        <v>3/1/2029</v>
      </c>
      <c r="H346" t="str">
        <f>_xll.BDP($C346,"RTG_SP")</f>
        <v>BBB</v>
      </c>
    </row>
    <row r="347" spans="1:8" x14ac:dyDescent="0.25">
      <c r="A347" s="1" t="s">
        <v>145</v>
      </c>
      <c r="B347" s="1" t="s">
        <v>1727</v>
      </c>
      <c r="C347" s="1" t="s">
        <v>1728</v>
      </c>
      <c r="D347" s="1" t="s">
        <v>1729</v>
      </c>
      <c r="E347">
        <f>_xll.BDP($C347,"DUR_ADJ_MID")</f>
        <v>1.5066008130109629</v>
      </c>
      <c r="F347">
        <f>_xll.BDP($C347,"OAS_SPREAD_DUR_MID")</f>
        <v>1.5320911882597654</v>
      </c>
      <c r="G347" t="str">
        <f>_xll.BDP($C347,"MATURITY")</f>
        <v>3/3/2028</v>
      </c>
      <c r="H347" t="str">
        <f>_xll.BDP($C347,"RTG_SP")</f>
        <v>A+</v>
      </c>
    </row>
    <row r="348" spans="1:8" x14ac:dyDescent="0.25">
      <c r="A348" s="1" t="s">
        <v>145</v>
      </c>
      <c r="B348" s="1" t="s">
        <v>1730</v>
      </c>
      <c r="C348" s="1" t="s">
        <v>1731</v>
      </c>
      <c r="D348" s="1" t="s">
        <v>1732</v>
      </c>
      <c r="E348">
        <f>_xll.BDP($C348,"DUR_ADJ_MID")</f>
        <v>4.1581916682682829</v>
      </c>
      <c r="F348">
        <f>_xll.BDP($C348,"OAS_SPREAD_DUR_MID")</f>
        <v>4.1180910621044688</v>
      </c>
      <c r="G348" t="str">
        <f>_xll.BDP($C348,"MATURITY")</f>
        <v>3/23/2031</v>
      </c>
      <c r="H348" t="str">
        <f>_xll.BDP($C348,"RTG_SP")</f>
        <v>BBB</v>
      </c>
    </row>
    <row r="349" spans="1:8" x14ac:dyDescent="0.25">
      <c r="A349" s="1" t="s">
        <v>145</v>
      </c>
      <c r="B349" s="1" t="s">
        <v>1733</v>
      </c>
      <c r="C349" s="1" t="s">
        <v>1734</v>
      </c>
      <c r="D349" s="1" t="s">
        <v>1735</v>
      </c>
      <c r="E349">
        <f>_xll.BDP($C349,"DUR_ADJ_MID")</f>
        <v>2.726769675359193</v>
      </c>
      <c r="F349">
        <f>_xll.BDP($C349,"OAS_SPREAD_DUR_MID")</f>
        <v>2.6641231984593379</v>
      </c>
      <c r="G349" t="str">
        <f>_xll.BDP($C349,"MATURITY")</f>
        <v>6/1/2029</v>
      </c>
      <c r="H349" t="str">
        <f>_xll.BDP($C349,"RTG_SP")</f>
        <v>BBB</v>
      </c>
    </row>
    <row r="350" spans="1:8" x14ac:dyDescent="0.25">
      <c r="A350" s="1" t="s">
        <v>145</v>
      </c>
      <c r="B350" s="1" t="s">
        <v>1736</v>
      </c>
      <c r="C350" s="1" t="s">
        <v>1737</v>
      </c>
      <c r="D350" s="1" t="s">
        <v>1738</v>
      </c>
      <c r="E350">
        <f>_xll.BDP($C350,"DUR_ADJ_MID")</f>
        <v>3.3925099396254095</v>
      </c>
      <c r="F350">
        <f>_xll.BDP($C350,"OAS_SPREAD_DUR_MID")</f>
        <v>3.4168507600758993</v>
      </c>
      <c r="G350" t="str">
        <f>_xll.BDP($C350,"MATURITY")</f>
        <v>8/2/2030</v>
      </c>
      <c r="H350" t="str">
        <f>_xll.BDP($C350,"RTG_SP")</f>
        <v>BBB+</v>
      </c>
    </row>
    <row r="351" spans="1:8" x14ac:dyDescent="0.25">
      <c r="A351" s="1" t="s">
        <v>145</v>
      </c>
      <c r="B351" s="1" t="s">
        <v>1739</v>
      </c>
      <c r="C351" s="1" t="s">
        <v>1740</v>
      </c>
      <c r="D351" s="1" t="s">
        <v>1741</v>
      </c>
      <c r="E351">
        <f>_xll.BDP($C351,"DUR_ADJ_MID")</f>
        <v>3.2218422362131047</v>
      </c>
      <c r="F351">
        <f>_xll.BDP($C351,"OAS_SPREAD_DUR_MID")</f>
        <v>3.2440329628332223</v>
      </c>
      <c r="G351" t="str">
        <f>_xll.BDP($C351,"MATURITY")</f>
        <v>4/2/2030</v>
      </c>
      <c r="H351" t="str">
        <f>_xll.BDP($C351,"RTG_SP")</f>
        <v>BBB-</v>
      </c>
    </row>
    <row r="352" spans="1:8" x14ac:dyDescent="0.25">
      <c r="A352" s="1" t="s">
        <v>145</v>
      </c>
      <c r="B352" s="1" t="s">
        <v>1742</v>
      </c>
      <c r="C352" s="1" t="s">
        <v>1743</v>
      </c>
      <c r="D352" s="1" t="s">
        <v>1744</v>
      </c>
      <c r="E352">
        <f>_xll.BDP($C352,"DUR_ADJ_MID")</f>
        <v>4.2497566778734583</v>
      </c>
      <c r="F352">
        <f>_xll.BDP($C352,"OAS_SPREAD_DUR_MID")</f>
        <v>4.2483431394194797</v>
      </c>
      <c r="G352" t="str">
        <f>_xll.BDP($C352,"MATURITY")</f>
        <v>5/8/2031</v>
      </c>
      <c r="H352" t="str">
        <f>_xll.BDP($C352,"RTG_SP")</f>
        <v>A-</v>
      </c>
    </row>
    <row r="353" spans="1:8" x14ac:dyDescent="0.25">
      <c r="A353" s="1" t="s">
        <v>145</v>
      </c>
      <c r="B353" s="1" t="s">
        <v>1745</v>
      </c>
      <c r="C353" s="1" t="s">
        <v>1746</v>
      </c>
      <c r="D353" s="1" t="s">
        <v>1747</v>
      </c>
      <c r="E353">
        <f>_xll.BDP($C353,"DUR_ADJ_MID")</f>
        <v>1.4255574640028208</v>
      </c>
      <c r="F353" t="str">
        <f>_xll.BDP($C353,"OAS_SPREAD_DUR_MID")</f>
        <v>#N/A Field Not Applicable</v>
      </c>
      <c r="G353" t="str">
        <f>_xll.BDP($C353,"MATURITY")</f>
        <v>12/20/2028</v>
      </c>
      <c r="H353" t="str">
        <f>_xll.BDP($C353,"RTG_SP")</f>
        <v>A-</v>
      </c>
    </row>
    <row r="354" spans="1:8" x14ac:dyDescent="0.25">
      <c r="A354" s="1" t="s">
        <v>145</v>
      </c>
      <c r="B354" s="1" t="s">
        <v>1748</v>
      </c>
      <c r="C354" s="1" t="s">
        <v>1749</v>
      </c>
      <c r="D354" s="1" t="s">
        <v>1750</v>
      </c>
      <c r="E354">
        <f>_xll.BDP($C354,"DUR_ADJ_MID")</f>
        <v>4.4087981014469495</v>
      </c>
      <c r="F354" t="str">
        <f>_xll.BDP($C354,"OAS_SPREAD_DUR_MID")</f>
        <v>#N/A Field Not Applicable</v>
      </c>
      <c r="G354" t="str">
        <f>_xll.BDP($C354,"MATURITY")</f>
        <v>4/22/2032</v>
      </c>
      <c r="H354" t="str">
        <f>_xll.BDP($C354,"RTG_SP")</f>
        <v>A-</v>
      </c>
    </row>
    <row r="355" spans="1:8" x14ac:dyDescent="0.25">
      <c r="A355" s="1" t="s">
        <v>145</v>
      </c>
      <c r="B355" s="1" t="s">
        <v>1751</v>
      </c>
      <c r="C355" s="1" t="s">
        <v>1752</v>
      </c>
      <c r="D355" s="1" t="s">
        <v>1753</v>
      </c>
      <c r="E355">
        <f>_xll.BDP($C355,"DUR_ADJ_MID")</f>
        <v>1.4145247785989237</v>
      </c>
      <c r="F355">
        <f>_xll.BDP($C355,"OAS_SPREAD_DUR_MID")</f>
        <v>1.441821142684756</v>
      </c>
      <c r="G355" t="str">
        <f>_xll.BDP($C355,"MATURITY")</f>
        <v>2/1/2028</v>
      </c>
      <c r="H355" t="str">
        <f>_xll.BDP($C355,"RTG_SP")</f>
        <v>A-</v>
      </c>
    </row>
    <row r="356" spans="1:8" x14ac:dyDescent="0.25">
      <c r="A356" s="1" t="s">
        <v>145</v>
      </c>
      <c r="B356" s="1" t="s">
        <v>1754</v>
      </c>
      <c r="C356" s="1" t="s">
        <v>1755</v>
      </c>
      <c r="D356" s="1" t="s">
        <v>1756</v>
      </c>
      <c r="E356">
        <f>_xll.BDP($C356,"DUR_ADJ_MID")</f>
        <v>3.2304804313049651</v>
      </c>
      <c r="F356" t="str">
        <f>_xll.BDP($C356,"OAS_SPREAD_DUR_MID")</f>
        <v>#N/A Field Not Applicable</v>
      </c>
      <c r="G356" t="str">
        <f>_xll.BDP($C356,"MATURITY")</f>
        <v>2/11/2031</v>
      </c>
      <c r="H356" t="str">
        <f>_xll.BDP($C356,"RTG_SP")</f>
        <v>A</v>
      </c>
    </row>
    <row r="357" spans="1:8" x14ac:dyDescent="0.25">
      <c r="A357" s="1" t="s">
        <v>145</v>
      </c>
      <c r="B357" s="1" t="s">
        <v>1757</v>
      </c>
      <c r="C357" s="1" t="s">
        <v>1758</v>
      </c>
      <c r="D357" s="1" t="s">
        <v>1759</v>
      </c>
      <c r="E357">
        <f>_xll.BDP($C357,"DUR_ADJ_MID")</f>
        <v>3.2265531118426867</v>
      </c>
      <c r="F357" t="str">
        <f>_xll.BDP($C357,"OAS_SPREAD_DUR_MID")</f>
        <v>#N/A Field Not Applicable</v>
      </c>
      <c r="G357" t="str">
        <f>_xll.BDP($C357,"MATURITY")</f>
        <v>2/14/2031</v>
      </c>
      <c r="H357" t="str">
        <f>_xll.BDP($C357,"RTG_SP")</f>
        <v>A-</v>
      </c>
    </row>
    <row r="358" spans="1:8" x14ac:dyDescent="0.25">
      <c r="A358" s="1" t="s">
        <v>145</v>
      </c>
      <c r="B358" s="1" t="s">
        <v>1760</v>
      </c>
      <c r="C358" s="1" t="s">
        <v>1761</v>
      </c>
      <c r="D358" s="1" t="s">
        <v>1762</v>
      </c>
      <c r="E358">
        <f>_xll.BDP($C358,"DUR_ADJ_MID")</f>
        <v>3.2409109758594283</v>
      </c>
      <c r="F358" t="str">
        <f>_xll.BDP($C358,"OAS_SPREAD_DUR_MID")</f>
        <v>#N/A Field Not Applicable</v>
      </c>
      <c r="G358" t="str">
        <f>_xll.BDP($C358,"MATURITY")</f>
        <v>2/25/2031</v>
      </c>
      <c r="H358" t="str">
        <f>_xll.BDP($C358,"RTG_SP")</f>
        <v>BBB+</v>
      </c>
    </row>
    <row r="359" spans="1:8" x14ac:dyDescent="0.25">
      <c r="A359" s="1" t="s">
        <v>145</v>
      </c>
      <c r="B359" s="1" t="s">
        <v>1763</v>
      </c>
      <c r="C359" s="1" t="s">
        <v>1764</v>
      </c>
      <c r="D359" s="1" t="s">
        <v>1765</v>
      </c>
      <c r="E359">
        <f>_xll.BDP($C359,"DUR_ADJ_MID")</f>
        <v>3.5941643279878281</v>
      </c>
      <c r="F359">
        <f>_xll.BDP($C359,"OAS_SPREAD_DUR_MID")</f>
        <v>3.5761961691524391</v>
      </c>
      <c r="G359" t="str">
        <f>_xll.BDP($C359,"MATURITY")</f>
        <v>4/30/2030</v>
      </c>
      <c r="H359" t="str">
        <f>_xll.BDP($C359,"RTG_SP")</f>
        <v>AA-</v>
      </c>
    </row>
    <row r="360" spans="1:8" x14ac:dyDescent="0.25">
      <c r="A360" s="1" t="s">
        <v>145</v>
      </c>
      <c r="B360" s="1" t="s">
        <v>1766</v>
      </c>
      <c r="C360" s="1" t="s">
        <v>1767</v>
      </c>
      <c r="D360" s="1" t="s">
        <v>1768</v>
      </c>
      <c r="E360">
        <f>_xll.BDP($C360,"DUR_ADJ_MID")</f>
        <v>4.1389205114703405</v>
      </c>
      <c r="F360">
        <f>_xll.BDP($C360,"OAS_SPREAD_DUR_MID")</f>
        <v>4.1057115628001615</v>
      </c>
      <c r="G360" t="str">
        <f>_xll.BDP($C360,"MATURITY")</f>
        <v>5/15/2031</v>
      </c>
      <c r="H360" t="str">
        <f>_xll.BDP($C360,"RTG_SP")</f>
        <v>BBB-</v>
      </c>
    </row>
    <row r="361" spans="1:8" x14ac:dyDescent="0.25">
      <c r="A361" s="1" t="s">
        <v>145</v>
      </c>
      <c r="B361" s="1" t="s">
        <v>1769</v>
      </c>
      <c r="C361" s="1" t="s">
        <v>1770</v>
      </c>
      <c r="D361" s="1" t="s">
        <v>1771</v>
      </c>
      <c r="E361">
        <f>_xll.BDP($C361,"DUR_ADJ_MID")</f>
        <v>1.6745309026340449</v>
      </c>
      <c r="F361">
        <f>_xll.BDP($C361,"OAS_SPREAD_DUR_MID")</f>
        <v>1.644623316052364</v>
      </c>
      <c r="G361" t="str">
        <f>_xll.BDP($C361,"MATURITY")</f>
        <v>4/13/2028</v>
      </c>
      <c r="H361" t="str">
        <f>_xll.BDP($C361,"RTG_SP")</f>
        <v>BBB-</v>
      </c>
    </row>
    <row r="362" spans="1:8" x14ac:dyDescent="0.25">
      <c r="A362" s="1" t="s">
        <v>145</v>
      </c>
      <c r="B362" s="1" t="s">
        <v>1772</v>
      </c>
      <c r="C362" s="1" t="s">
        <v>1773</v>
      </c>
      <c r="D362" s="1" t="s">
        <v>1774</v>
      </c>
      <c r="E362">
        <f>_xll.BDP($C362,"DUR_ADJ_MID")</f>
        <v>3.2299970787863952</v>
      </c>
      <c r="F362">
        <f>_xll.BDP($C362,"OAS_SPREAD_DUR_MID")</f>
        <v>3.2992684119195572</v>
      </c>
      <c r="G362" t="str">
        <f>_xll.BDP($C362,"MATURITY")</f>
        <v>5/1/2030</v>
      </c>
      <c r="H362" t="str">
        <f>_xll.BDP($C362,"RTG_SP")</f>
        <v>BBB-</v>
      </c>
    </row>
    <row r="363" spans="1:8" x14ac:dyDescent="0.25">
      <c r="A363" s="1" t="s">
        <v>145</v>
      </c>
      <c r="B363" s="1" t="s">
        <v>1775</v>
      </c>
      <c r="C363" s="1" t="s">
        <v>1776</v>
      </c>
      <c r="D363" s="1" t="s">
        <v>1777</v>
      </c>
      <c r="E363">
        <f>_xll.BDP($C363,"DUR_ADJ_MID")</f>
        <v>4.129043482852313</v>
      </c>
      <c r="F363">
        <f>_xll.BDP($C363,"OAS_SPREAD_DUR_MID")</f>
        <v>4.0997628462874935</v>
      </c>
      <c r="G363" t="str">
        <f>_xll.BDP($C363,"MATURITY")</f>
        <v>1/30/2031</v>
      </c>
      <c r="H363" t="str">
        <f>_xll.BDP($C363,"RTG_SP")</f>
        <v>BBB</v>
      </c>
    </row>
    <row r="364" spans="1:8" x14ac:dyDescent="0.25">
      <c r="A364" s="1" t="s">
        <v>145</v>
      </c>
      <c r="B364" s="1" t="s">
        <v>1778</v>
      </c>
      <c r="C364" s="1" t="s">
        <v>1779</v>
      </c>
      <c r="D364" s="1" t="s">
        <v>1780</v>
      </c>
      <c r="E364">
        <f>_xll.BDP($C364,"DUR_ADJ_MID")</f>
        <v>2.2097258487674538</v>
      </c>
      <c r="F364">
        <f>_xll.BDP($C364,"OAS_SPREAD_DUR_MID")</f>
        <v>2.1039024691367052</v>
      </c>
      <c r="G364" t="str">
        <f>_xll.BDP($C364,"MATURITY")</f>
        <v>11/6/2028</v>
      </c>
      <c r="H364" t="str">
        <f>_xll.BDP($C364,"RTG_SP")</f>
        <v>A-</v>
      </c>
    </row>
    <row r="365" spans="1:8" x14ac:dyDescent="0.25">
      <c r="A365" s="1" t="s">
        <v>145</v>
      </c>
      <c r="B365" s="1" t="s">
        <v>1781</v>
      </c>
      <c r="C365" s="1" t="s">
        <v>1782</v>
      </c>
      <c r="D365" s="1" t="s">
        <v>1783</v>
      </c>
      <c r="E365">
        <f>_xll.BDP($C365,"DUR_ADJ_MID")</f>
        <v>3.7041380747988555</v>
      </c>
      <c r="F365">
        <f>_xll.BDP($C365,"OAS_SPREAD_DUR_MID")</f>
        <v>3.7048627999381751</v>
      </c>
      <c r="G365" t="str">
        <f>_xll.BDP($C365,"MATURITY")</f>
        <v>12/15/2030</v>
      </c>
      <c r="H365" t="str">
        <f>_xll.BDP($C365,"RTG_SP")</f>
        <v>BBB</v>
      </c>
    </row>
    <row r="366" spans="1:8" x14ac:dyDescent="0.25">
      <c r="A366" s="1" t="s">
        <v>145</v>
      </c>
      <c r="B366" s="1" t="s">
        <v>1784</v>
      </c>
      <c r="C366" s="1" t="s">
        <v>1785</v>
      </c>
      <c r="D366" s="1" t="s">
        <v>1786</v>
      </c>
      <c r="E366">
        <f>_xll.BDP($C366,"DUR_ADJ_MID")</f>
        <v>2.6751854304847957</v>
      </c>
      <c r="F366">
        <f>_xll.BDP($C366,"OAS_SPREAD_DUR_MID")</f>
        <v>2.576243251625856</v>
      </c>
      <c r="G366" t="str">
        <f>_xll.BDP($C366,"MATURITY")</f>
        <v>5/15/2029</v>
      </c>
      <c r="H366" t="str">
        <f>_xll.BDP($C366,"RTG_SP")</f>
        <v>BBB</v>
      </c>
    </row>
    <row r="367" spans="1:8" x14ac:dyDescent="0.25">
      <c r="A367" s="1" t="s">
        <v>145</v>
      </c>
      <c r="B367" s="1" t="s">
        <v>1787</v>
      </c>
      <c r="C367" s="1" t="s">
        <v>1788</v>
      </c>
      <c r="D367" s="1" t="s">
        <v>1789</v>
      </c>
      <c r="E367">
        <f>_xll.BDP($C367,"DUR_ADJ_MID")</f>
        <v>3.2730537357998473</v>
      </c>
      <c r="F367">
        <f>_xll.BDP($C367,"OAS_SPREAD_DUR_MID")</f>
        <v>3.2101138581014159</v>
      </c>
      <c r="G367" t="str">
        <f>_xll.BDP($C367,"MATURITY")</f>
        <v>2/15/2030</v>
      </c>
      <c r="H367" t="str">
        <f>_xll.BDP($C367,"RTG_SP")</f>
        <v>A-</v>
      </c>
    </row>
    <row r="368" spans="1:8" x14ac:dyDescent="0.25">
      <c r="A368" s="1" t="s">
        <v>145</v>
      </c>
      <c r="B368" s="1" t="s">
        <v>1790</v>
      </c>
      <c r="C368" s="1" t="s">
        <v>1791</v>
      </c>
      <c r="D368" s="1" t="s">
        <v>1792</v>
      </c>
      <c r="E368">
        <f>_xll.BDP($C368,"DUR_ADJ_MID")</f>
        <v>1.7023041954117979</v>
      </c>
      <c r="F368">
        <f>_xll.BDP($C368,"OAS_SPREAD_DUR_MID")</f>
        <v>1.6199730571100805</v>
      </c>
      <c r="G368" t="str">
        <f>_xll.BDP($C368,"MATURITY")</f>
        <v>4/15/2028</v>
      </c>
      <c r="H368" t="str">
        <f>_xll.BDP($C368,"RTG_SP")</f>
        <v>BBB+</v>
      </c>
    </row>
    <row r="369" spans="1:8" x14ac:dyDescent="0.25">
      <c r="A369" s="1" t="s">
        <v>145</v>
      </c>
      <c r="B369" s="1" t="s">
        <v>1793</v>
      </c>
      <c r="C369" s="1" t="s">
        <v>1794</v>
      </c>
      <c r="D369" s="1" t="s">
        <v>1795</v>
      </c>
      <c r="E369">
        <f>_xll.BDP($C369,"DUR_ADJ_MID")</f>
        <v>2.1489511446887044</v>
      </c>
      <c r="F369">
        <f>_xll.BDP($C369,"OAS_SPREAD_DUR_MID")</f>
        <v>2.0373848281787721</v>
      </c>
      <c r="G369" t="str">
        <f>_xll.BDP($C369,"MATURITY")</f>
        <v>10/15/2028</v>
      </c>
      <c r="H369" t="str">
        <f>_xll.BDP($C369,"RTG_SP")</f>
        <v>A-</v>
      </c>
    </row>
    <row r="370" spans="1:8" x14ac:dyDescent="0.25">
      <c r="A370" s="1" t="s">
        <v>145</v>
      </c>
      <c r="B370" s="1" t="s">
        <v>1796</v>
      </c>
      <c r="C370" s="1" t="s">
        <v>1797</v>
      </c>
      <c r="D370" s="1" t="s">
        <v>1798</v>
      </c>
      <c r="E370">
        <f>_xll.BDP($C370,"DUR_ADJ_MID")</f>
        <v>3.31677223472211</v>
      </c>
      <c r="F370" t="str">
        <f>_xll.BDP($C370,"OAS_SPREAD_DUR_MID")</f>
        <v>#N/A Field Not Applicable</v>
      </c>
      <c r="G370" t="str">
        <f>_xll.BDP($C370,"MATURITY")</f>
        <v>6/1/2050</v>
      </c>
      <c r="H370" t="str">
        <f>_xll.BDP($C370,"RTG_SP")</f>
        <v>BBB-</v>
      </c>
    </row>
    <row r="371" spans="1:8" x14ac:dyDescent="0.25">
      <c r="A371" s="1" t="s">
        <v>145</v>
      </c>
      <c r="B371" s="1" t="s">
        <v>1799</v>
      </c>
      <c r="C371" s="1" t="s">
        <v>1800</v>
      </c>
      <c r="D371" s="1" t="s">
        <v>1801</v>
      </c>
      <c r="E371">
        <f>_xll.BDP($C371,"DUR_ADJ_MID")</f>
        <v>1.6468417345443871</v>
      </c>
      <c r="F371">
        <f>_xll.BDP($C371,"OAS_SPREAD_DUR_MID")</f>
        <v>1.5545776609149784</v>
      </c>
      <c r="G371" t="str">
        <f>_xll.BDP($C371,"MATURITY")</f>
        <v>3/25/2028</v>
      </c>
      <c r="H371" t="str">
        <f>_xll.BDP($C371,"RTG_SP")</f>
        <v>BBB</v>
      </c>
    </row>
    <row r="372" spans="1:8" x14ac:dyDescent="0.25">
      <c r="A372" s="1" t="s">
        <v>145</v>
      </c>
      <c r="B372" s="1" t="s">
        <v>1802</v>
      </c>
      <c r="C372" s="1" t="s">
        <v>1803</v>
      </c>
      <c r="D372" s="1" t="s">
        <v>1804</v>
      </c>
      <c r="E372">
        <f>_xll.BDP($C372,"DUR_ADJ_MID")</f>
        <v>1.6533398732032336</v>
      </c>
      <c r="F372">
        <f>_xll.BDP($C372,"OAS_SPREAD_DUR_MID")</f>
        <v>1.6821103123243255</v>
      </c>
      <c r="G372" t="str">
        <f>_xll.BDP($C372,"MATURITY")</f>
        <v>4/28/2028</v>
      </c>
      <c r="H372" t="str">
        <f>_xll.BDP($C372,"RTG_SP")</f>
        <v>A-</v>
      </c>
    </row>
    <row r="373" spans="1:8" x14ac:dyDescent="0.25">
      <c r="A373" s="1" t="s">
        <v>145</v>
      </c>
      <c r="B373" s="1" t="s">
        <v>1805</v>
      </c>
      <c r="C373" s="1" t="s">
        <v>1806</v>
      </c>
      <c r="D373" s="1" t="s">
        <v>1807</v>
      </c>
      <c r="E373">
        <f>_xll.BDP($C373,"DUR_ADJ_MID")</f>
        <v>2.3814964558553755</v>
      </c>
      <c r="F373" t="str">
        <f>_xll.BDP($C373,"OAS_SPREAD_DUR_MID")</f>
        <v>#N/A Field Not Applicable</v>
      </c>
      <c r="G373" t="str">
        <f>_xll.BDP($C373,"MATURITY")</f>
        <v>1/29/2030</v>
      </c>
      <c r="H373" t="str">
        <f>_xll.BDP($C373,"RTG_SP")</f>
        <v>A-</v>
      </c>
    </row>
    <row r="374" spans="1:8" x14ac:dyDescent="0.25">
      <c r="A374" s="1" t="s">
        <v>145</v>
      </c>
      <c r="B374" s="1" t="s">
        <v>1808</v>
      </c>
      <c r="C374" s="1" t="s">
        <v>1809</v>
      </c>
      <c r="D374" s="1" t="s">
        <v>1810</v>
      </c>
      <c r="E374">
        <f>_xll.BDP($C374,"DUR_ADJ_MID")</f>
        <v>2.4999739180610145</v>
      </c>
      <c r="F374" t="str">
        <f>_xll.BDP($C374,"OAS_SPREAD_DUR_MID")</f>
        <v>#N/A Field Not Applicable</v>
      </c>
      <c r="G374" t="str">
        <f>_xll.BDP($C374,"MATURITY")</f>
        <v>3/1/2030</v>
      </c>
      <c r="H374" t="str">
        <f>_xll.BDP($C374,"RTG_SP")</f>
        <v>BBB</v>
      </c>
    </row>
    <row r="375" spans="1:8" x14ac:dyDescent="0.25">
      <c r="A375" s="1" t="s">
        <v>145</v>
      </c>
      <c r="B375" s="1" t="s">
        <v>1811</v>
      </c>
      <c r="C375" s="1" t="s">
        <v>1812</v>
      </c>
      <c r="D375" s="1" t="s">
        <v>1813</v>
      </c>
      <c r="E375">
        <f>_xll.BDP($C375,"DUR_ADJ_MID")</f>
        <v>1.8184282017192144</v>
      </c>
      <c r="F375" t="str">
        <f>_xll.BDP($C375,"OAS_SPREAD_DUR_MID")</f>
        <v>#N/A Field Not Applicable</v>
      </c>
      <c r="G375" t="str">
        <f>_xll.BDP($C375,"MATURITY")</f>
        <v>6/8/2029</v>
      </c>
      <c r="H375" t="str">
        <f>_xll.BDP($C375,"RTG_SP")</f>
        <v>BBB</v>
      </c>
    </row>
    <row r="376" spans="1:8" x14ac:dyDescent="0.25">
      <c r="A376" s="1" t="s">
        <v>145</v>
      </c>
      <c r="B376" s="1" t="s">
        <v>1814</v>
      </c>
      <c r="C376" s="1" t="s">
        <v>1815</v>
      </c>
      <c r="D376" s="1" t="s">
        <v>1816</v>
      </c>
      <c r="E376">
        <f>_xll.BDP($C376,"DUR_ADJ_MID")</f>
        <v>2.3294480341274095</v>
      </c>
      <c r="F376">
        <f>_xll.BDP($C376,"OAS_SPREAD_DUR_MID")</f>
        <v>2.358355558858555</v>
      </c>
      <c r="G376" t="str">
        <f>_xll.BDP($C376,"MATURITY")</f>
        <v>2/15/2029</v>
      </c>
      <c r="H376" t="str">
        <f>_xll.BDP($C376,"RTG_SP")</f>
        <v>BBB</v>
      </c>
    </row>
    <row r="377" spans="1:8" x14ac:dyDescent="0.25">
      <c r="A377" s="1" t="s">
        <v>145</v>
      </c>
      <c r="B377" s="1" t="s">
        <v>1817</v>
      </c>
      <c r="C377" s="1" t="s">
        <v>1818</v>
      </c>
      <c r="D377" s="1" t="s">
        <v>1819</v>
      </c>
      <c r="E377">
        <f>_xll.BDP($C377,"DUR_ADJ_MID")</f>
        <v>4.3196665062897042</v>
      </c>
      <c r="F377">
        <f>_xll.BDP($C377,"OAS_SPREAD_DUR_MID")</f>
        <v>4.3179597011983146</v>
      </c>
      <c r="G377" t="str">
        <f>_xll.BDP($C377,"MATURITY")</f>
        <v>5/15/2031</v>
      </c>
      <c r="H377" t="str">
        <f>_xll.BDP($C377,"RTG_SP")</f>
        <v>A</v>
      </c>
    </row>
    <row r="378" spans="1:8" x14ac:dyDescent="0.25">
      <c r="A378" s="1" t="s">
        <v>145</v>
      </c>
      <c r="B378" s="1" t="s">
        <v>1820</v>
      </c>
      <c r="C378" s="1" t="s">
        <v>1821</v>
      </c>
      <c r="D378" s="1" t="s">
        <v>1822</v>
      </c>
      <c r="E378">
        <f>_xll.BDP($C378,"DUR_ADJ_MID")</f>
        <v>3.6342988314683393</v>
      </c>
      <c r="F378">
        <f>_xll.BDP($C378,"OAS_SPREAD_DUR_MID")</f>
        <v>3.621051308983501</v>
      </c>
      <c r="G378" t="str">
        <f>_xll.BDP($C378,"MATURITY")</f>
        <v>5/11/2030</v>
      </c>
      <c r="H378" t="str">
        <f>_xll.BDP($C378,"RTG_SP")</f>
        <v>AA-</v>
      </c>
    </row>
    <row r="379" spans="1:8" x14ac:dyDescent="0.25">
      <c r="A379" s="1" t="s">
        <v>145</v>
      </c>
      <c r="B379" s="1" t="s">
        <v>1823</v>
      </c>
      <c r="C379" s="1" t="s">
        <v>1824</v>
      </c>
      <c r="D379" s="1" t="s">
        <v>1825</v>
      </c>
      <c r="E379">
        <f>_xll.BDP($C379,"DUR_ADJ_MID")</f>
        <v>2.3703472292212218</v>
      </c>
      <c r="F379">
        <f>_xll.BDP($C379,"OAS_SPREAD_DUR_MID")</f>
        <v>2.4003786446569499</v>
      </c>
      <c r="G379" t="str">
        <f>_xll.BDP($C379,"MATURITY")</f>
        <v>2/26/2029</v>
      </c>
      <c r="H379" t="str">
        <f>_xll.BDP($C379,"RTG_SP")</f>
        <v>AA-</v>
      </c>
    </row>
    <row r="380" spans="1:8" x14ac:dyDescent="0.25">
      <c r="A380" s="1" t="s">
        <v>145</v>
      </c>
      <c r="B380" s="1" t="s">
        <v>1826</v>
      </c>
      <c r="C380" s="1" t="s">
        <v>1827</v>
      </c>
      <c r="D380" s="1" t="s">
        <v>1828</v>
      </c>
      <c r="E380">
        <f>_xll.BDP($C380,"DUR_ADJ_MID")</f>
        <v>3.94034623174243</v>
      </c>
      <c r="F380">
        <f>_xll.BDP($C380,"OAS_SPREAD_DUR_MID")</f>
        <v>3.9894590093719833</v>
      </c>
      <c r="G380" t="str">
        <f>_xll.BDP($C380,"MATURITY")</f>
        <v>2/26/2031</v>
      </c>
      <c r="H380" t="str">
        <f>_xll.BDP($C380,"RTG_SP")</f>
        <v>AA-</v>
      </c>
    </row>
    <row r="381" spans="1:8" x14ac:dyDescent="0.25">
      <c r="A381" s="1" t="s">
        <v>145</v>
      </c>
      <c r="B381" s="1" t="s">
        <v>1829</v>
      </c>
      <c r="C381" s="1" t="s">
        <v>1830</v>
      </c>
      <c r="D381" s="1" t="s">
        <v>1831</v>
      </c>
      <c r="E381">
        <f>_xll.BDP($C381,"DUR_ADJ_MID")</f>
        <v>1.1989919135220257</v>
      </c>
      <c r="F381">
        <f>_xll.BDP($C381,"OAS_SPREAD_DUR_MID")</f>
        <v>1.199989009114055</v>
      </c>
      <c r="G381" t="str">
        <f>_xll.BDP($C381,"MATURITY")</f>
        <v>9/29/2027</v>
      </c>
      <c r="H381" t="str">
        <f>_xll.BDP($C381,"RTG_SP")</f>
        <v>BBB</v>
      </c>
    </row>
    <row r="382" spans="1:8" x14ac:dyDescent="0.25">
      <c r="A382" s="1" t="s">
        <v>145</v>
      </c>
      <c r="B382" s="1" t="s">
        <v>1832</v>
      </c>
      <c r="C382" s="1" t="s">
        <v>1833</v>
      </c>
      <c r="D382" s="1" t="s">
        <v>1834</v>
      </c>
      <c r="E382">
        <f>_xll.BDP($C382,"DUR_ADJ_MID")</f>
        <v>3.3888363708501883</v>
      </c>
      <c r="F382" t="str">
        <f>_xll.BDP($C382,"OAS_SPREAD_DUR_MID")</f>
        <v>#N/A Field Not Applicable</v>
      </c>
      <c r="G382" t="str">
        <f>_xll.BDP($C382,"MATURITY")</f>
        <v>3/31/2031</v>
      </c>
      <c r="H382" t="str">
        <f>_xll.BDP($C382,"RTG_SP")</f>
        <v>BBB+</v>
      </c>
    </row>
    <row r="383" spans="1:8" x14ac:dyDescent="0.25">
      <c r="A383" s="1" t="s">
        <v>145</v>
      </c>
      <c r="B383" s="1" t="s">
        <v>1835</v>
      </c>
      <c r="C383" s="1" t="s">
        <v>1836</v>
      </c>
      <c r="D383" s="1" t="s">
        <v>1837</v>
      </c>
      <c r="E383">
        <f>_xll.BDP($C383,"DUR_ADJ_MID")</f>
        <v>2.3180802009613477</v>
      </c>
      <c r="F383" t="str">
        <f>_xll.BDP($C383,"OAS_SPREAD_DUR_MID")</f>
        <v>#N/A Field Not Applicable</v>
      </c>
      <c r="G383" t="str">
        <f>_xll.BDP($C383,"MATURITY")</f>
        <v>1/23/2030</v>
      </c>
      <c r="H383" t="str">
        <f>_xll.BDP($C383,"RTG_SP")</f>
        <v>BBB+</v>
      </c>
    </row>
    <row r="384" spans="1:8" x14ac:dyDescent="0.25">
      <c r="A384" s="1" t="s">
        <v>145</v>
      </c>
      <c r="B384" s="1" t="s">
        <v>1838</v>
      </c>
      <c r="C384" s="1" t="s">
        <v>1839</v>
      </c>
      <c r="D384" s="1" t="s">
        <v>1840</v>
      </c>
      <c r="E384">
        <f>_xll.BDP($C384,"DUR_ADJ_MID")</f>
        <v>2.3959714821102249</v>
      </c>
      <c r="F384">
        <f>_xll.BDP($C384,"OAS_SPREAD_DUR_MID")</f>
        <v>2.324854234968039</v>
      </c>
      <c r="G384" t="str">
        <f>_xll.BDP($C384,"MATURITY")</f>
        <v>2/1/2029</v>
      </c>
      <c r="H384" t="str">
        <f>_xll.BDP($C384,"RTG_SP")</f>
        <v>BBB+</v>
      </c>
    </row>
    <row r="385" spans="1:8" x14ac:dyDescent="0.25">
      <c r="A385" s="1" t="s">
        <v>145</v>
      </c>
      <c r="B385" s="1" t="s">
        <v>1841</v>
      </c>
      <c r="C385" s="1" t="s">
        <v>1842</v>
      </c>
      <c r="D385" s="1" t="s">
        <v>1843</v>
      </c>
      <c r="E385">
        <f>_xll.BDP($C385,"DUR_ADJ_MID")</f>
        <v>1.9582797680911648</v>
      </c>
      <c r="F385">
        <f>_xll.BDP($C385,"OAS_SPREAD_DUR_MID")</f>
        <v>2.0532524555603824</v>
      </c>
      <c r="G385" t="str">
        <f>_xll.BDP($C385,"MATURITY")</f>
        <v>11/1/2028</v>
      </c>
      <c r="H385" t="str">
        <f>_xll.BDP($C385,"RTG_SP")</f>
        <v>BBB-</v>
      </c>
    </row>
    <row r="386" spans="1:8" x14ac:dyDescent="0.25">
      <c r="A386" s="1" t="s">
        <v>145</v>
      </c>
      <c r="B386" s="1" t="s">
        <v>1844</v>
      </c>
      <c r="C386" s="1" t="s">
        <v>1845</v>
      </c>
      <c r="D386" s="1" t="s">
        <v>1846</v>
      </c>
      <c r="E386">
        <f>_xll.BDP($C386,"DUR_ADJ_MID")</f>
        <v>3.4015669171926111</v>
      </c>
      <c r="F386" t="str">
        <f>_xll.BDP($C386,"OAS_SPREAD_DUR_MID")</f>
        <v>#N/A Field Not Applicable</v>
      </c>
      <c r="G386" t="str">
        <f>_xll.BDP($C386,"MATURITY")</f>
        <v>4/1/2031</v>
      </c>
      <c r="H386" t="str">
        <f>_xll.BDP($C386,"RTG_SP")</f>
        <v>A-</v>
      </c>
    </row>
    <row r="387" spans="1:8" x14ac:dyDescent="0.25">
      <c r="A387" s="1" t="s">
        <v>145</v>
      </c>
      <c r="B387" s="1" t="s">
        <v>1847</v>
      </c>
      <c r="C387" s="1" t="s">
        <v>1848</v>
      </c>
      <c r="D387" s="1" t="s">
        <v>1849</v>
      </c>
      <c r="E387">
        <f>_xll.BDP($C387,"DUR_ADJ_MID")</f>
        <v>1.5450193634805227</v>
      </c>
      <c r="F387">
        <f>_xll.BDP($C387,"OAS_SPREAD_DUR_MID")</f>
        <v>1.4998864209555349</v>
      </c>
      <c r="G387" t="str">
        <f>_xll.BDP($C387,"MATURITY")</f>
        <v>2/15/2028</v>
      </c>
      <c r="H387" t="str">
        <f>_xll.BDP($C387,"RTG_SP")</f>
        <v>BBB</v>
      </c>
    </row>
    <row r="388" spans="1:8" x14ac:dyDescent="0.25">
      <c r="A388" s="1" t="s">
        <v>145</v>
      </c>
      <c r="B388" s="1" t="s">
        <v>1850</v>
      </c>
      <c r="C388" s="1" t="s">
        <v>1851</v>
      </c>
      <c r="D388" s="1" t="s">
        <v>1852</v>
      </c>
      <c r="E388">
        <f>_xll.BDP($C388,"DUR_ADJ_MID")</f>
        <v>2.3735522005862819</v>
      </c>
      <c r="F388">
        <f>_xll.BDP($C388,"OAS_SPREAD_DUR_MID")</f>
        <v>2.3970340273256276</v>
      </c>
      <c r="G388" t="str">
        <f>_xll.BDP($C388,"MATURITY")</f>
        <v>3/1/2029</v>
      </c>
      <c r="H388" t="str">
        <f>_xll.BDP($C388,"RTG_SP")</f>
        <v>BBB</v>
      </c>
    </row>
    <row r="389" spans="1:8" x14ac:dyDescent="0.25">
      <c r="A389" s="1" t="s">
        <v>145</v>
      </c>
      <c r="B389" s="1" t="s">
        <v>1853</v>
      </c>
      <c r="C389" s="1" t="s">
        <v>1854</v>
      </c>
      <c r="D389" s="1" t="s">
        <v>1855</v>
      </c>
      <c r="E389">
        <f>_xll.BDP($C389,"DUR_ADJ_MID")</f>
        <v>1.4675259485960312</v>
      </c>
      <c r="F389">
        <f>_xll.BDP($C389,"OAS_SPREAD_DUR_MID")</f>
        <v>1.4694705610177299</v>
      </c>
      <c r="G389" t="str">
        <f>_xll.BDP($C389,"MATURITY")</f>
        <v>1/20/2028</v>
      </c>
      <c r="H389" t="str">
        <f>_xll.BDP($C389,"RTG_SP")</f>
        <v>A</v>
      </c>
    </row>
    <row r="390" spans="1:8" x14ac:dyDescent="0.25">
      <c r="A390" s="1" t="s">
        <v>145</v>
      </c>
      <c r="B390" s="1" t="s">
        <v>1856</v>
      </c>
      <c r="C390" s="1" t="s">
        <v>1857</v>
      </c>
      <c r="D390" s="1" t="s">
        <v>1858</v>
      </c>
      <c r="E390">
        <f>_xll.BDP($C390,"DUR_ADJ_MID")</f>
        <v>2.1927314168864029</v>
      </c>
      <c r="F390" t="str">
        <f>_xll.BDP($C390,"OAS_SPREAD_DUR_MID")</f>
        <v>#N/A Field Not Applicable</v>
      </c>
      <c r="G390" t="str">
        <f>_xll.BDP($C390,"MATURITY")</f>
        <v>11/20/2029</v>
      </c>
      <c r="H390" t="str">
        <f>_xll.BDP($C390,"RTG_SP")</f>
        <v>BBB</v>
      </c>
    </row>
    <row r="391" spans="1:8" x14ac:dyDescent="0.25">
      <c r="A391" s="1" t="s">
        <v>145</v>
      </c>
      <c r="B391" s="1" t="s">
        <v>1859</v>
      </c>
      <c r="C391" s="1" t="s">
        <v>1860</v>
      </c>
      <c r="D391" s="1" t="s">
        <v>1861</v>
      </c>
      <c r="E391">
        <f>_xll.BDP($C391,"DUR_ADJ_MID")</f>
        <v>4.1542149325836295</v>
      </c>
      <c r="F391">
        <f>_xll.BDP($C391,"OAS_SPREAD_DUR_MID")</f>
        <v>4.1568235618643383</v>
      </c>
      <c r="G391" t="str">
        <f>_xll.BDP($C391,"MATURITY")</f>
        <v>1/13/2031</v>
      </c>
      <c r="H391" t="str">
        <f>_xll.BDP($C391,"RTG_SP")</f>
        <v>A</v>
      </c>
    </row>
    <row r="392" spans="1:8" x14ac:dyDescent="0.25">
      <c r="A392" s="1" t="s">
        <v>145</v>
      </c>
      <c r="B392" s="1" t="s">
        <v>1862</v>
      </c>
      <c r="C392" s="1" t="s">
        <v>1863</v>
      </c>
      <c r="D392" s="1" t="s">
        <v>1864</v>
      </c>
      <c r="E392">
        <f>_xll.BDP($C392,"DUR_ADJ_MID")</f>
        <v>3.4473495832895797</v>
      </c>
      <c r="F392">
        <f>_xll.BDP($C392,"OAS_SPREAD_DUR_MID")</f>
        <v>3.3954593752883855</v>
      </c>
      <c r="G392" t="str">
        <f>_xll.BDP($C392,"MATURITY")</f>
        <v>4/3/2030</v>
      </c>
      <c r="H392" t="str">
        <f>_xll.BDP($C392,"RTG_SP")</f>
        <v>BBB</v>
      </c>
    </row>
    <row r="393" spans="1:8" x14ac:dyDescent="0.25">
      <c r="A393" s="1" t="s">
        <v>145</v>
      </c>
      <c r="B393" s="1" t="s">
        <v>1865</v>
      </c>
      <c r="C393" s="1" t="s">
        <v>1866</v>
      </c>
      <c r="D393" s="1" t="s">
        <v>1867</v>
      </c>
      <c r="E393">
        <f>_xll.BDP($C393,"DUR_ADJ_MID")</f>
        <v>1.7840655087569541</v>
      </c>
      <c r="F393">
        <f>_xll.BDP($C393,"OAS_SPREAD_DUR_MID")</f>
        <v>1.6931954676037801</v>
      </c>
      <c r="G393" t="str">
        <f>_xll.BDP($C393,"MATURITY")</f>
        <v>5/15/2028</v>
      </c>
      <c r="H393" t="str">
        <f>_xll.BDP($C393,"RTG_SP")</f>
        <v>BBB</v>
      </c>
    </row>
    <row r="394" spans="1:8" x14ac:dyDescent="0.25">
      <c r="A394" s="1" t="s">
        <v>145</v>
      </c>
      <c r="B394" s="1" t="s">
        <v>1868</v>
      </c>
      <c r="C394" s="1" t="s">
        <v>1869</v>
      </c>
      <c r="D394" s="1" t="s">
        <v>1870</v>
      </c>
      <c r="E394">
        <f>_xll.BDP($C394,"DUR_ADJ_MID")</f>
        <v>2.2409111329698628</v>
      </c>
      <c r="F394">
        <f>_xll.BDP($C394,"OAS_SPREAD_DUR_MID")</f>
        <v>2.1500216862446582</v>
      </c>
      <c r="G394" t="str">
        <f>_xll.BDP($C394,"MATURITY")</f>
        <v>11/15/2028</v>
      </c>
      <c r="H394" t="str">
        <f>_xll.BDP($C394,"RTG_SP")</f>
        <v>A</v>
      </c>
    </row>
    <row r="395" spans="1:8" x14ac:dyDescent="0.25">
      <c r="A395" s="1" t="s">
        <v>145</v>
      </c>
      <c r="B395" s="1" t="s">
        <v>1871</v>
      </c>
      <c r="C395" s="1" t="s">
        <v>1872</v>
      </c>
      <c r="D395" s="1" t="s">
        <v>1873</v>
      </c>
      <c r="E395">
        <f>_xll.BDP($C395,"DUR_ADJ_MID")</f>
        <v>3.961445339881609</v>
      </c>
      <c r="F395">
        <f>_xll.BDP($C395,"OAS_SPREAD_DUR_MID")</f>
        <v>3.7511124128132067</v>
      </c>
      <c r="G395" t="str">
        <f>_xll.BDP($C395,"MATURITY")</f>
        <v>1/15/2031</v>
      </c>
      <c r="H395" t="str">
        <f>_xll.BDP($C395,"RTG_SP")</f>
        <v>BBB-</v>
      </c>
    </row>
    <row r="396" spans="1:8" x14ac:dyDescent="0.25">
      <c r="A396" s="1" t="s">
        <v>145</v>
      </c>
      <c r="B396" s="1" t="s">
        <v>1874</v>
      </c>
      <c r="C396" s="1" t="s">
        <v>1875</v>
      </c>
      <c r="D396" s="1" t="s">
        <v>1876</v>
      </c>
      <c r="E396">
        <f>_xll.BDP($C396,"DUR_ADJ_MID")</f>
        <v>2.7157658554497273</v>
      </c>
      <c r="F396">
        <f>_xll.BDP($C396,"OAS_SPREAD_DUR_MID")</f>
        <v>2.7466764533679817</v>
      </c>
      <c r="G396" t="str">
        <f>_xll.BDP($C396,"MATURITY")</f>
        <v>8/1/2029</v>
      </c>
      <c r="H396" t="str">
        <f>_xll.BDP($C396,"RTG_SP")</f>
        <v>BBB</v>
      </c>
    </row>
    <row r="397" spans="1:8" x14ac:dyDescent="0.25">
      <c r="A397" s="1" t="s">
        <v>145</v>
      </c>
      <c r="B397" s="1" t="s">
        <v>1877</v>
      </c>
      <c r="C397" s="1" t="s">
        <v>1878</v>
      </c>
      <c r="D397" s="1" t="s">
        <v>1879</v>
      </c>
      <c r="E397">
        <f>_xll.BDP($C397,"DUR_ADJ_MID")</f>
        <v>2.4957149784642105</v>
      </c>
      <c r="F397">
        <f>_xll.BDP($C397,"OAS_SPREAD_DUR_MID")</f>
        <v>2.4617678455662766</v>
      </c>
      <c r="G397" t="str">
        <f>_xll.BDP($C397,"MATURITY")</f>
        <v>3/6/2029</v>
      </c>
      <c r="H397" t="str">
        <f>_xll.BDP($C397,"RTG_SP")</f>
        <v>A-</v>
      </c>
    </row>
    <row r="398" spans="1:8" x14ac:dyDescent="0.25">
      <c r="A398" s="1" t="s">
        <v>145</v>
      </c>
      <c r="B398" s="1" t="s">
        <v>1880</v>
      </c>
      <c r="C398" s="1" t="s">
        <v>1881</v>
      </c>
      <c r="D398" s="1" t="s">
        <v>1882</v>
      </c>
      <c r="E398">
        <f>_xll.BDP($C398,"DUR_ADJ_MID")</f>
        <v>3.4360022123752572</v>
      </c>
      <c r="F398">
        <f>_xll.BDP($C398,"OAS_SPREAD_DUR_MID")</f>
        <v>3.4174625018708791</v>
      </c>
      <c r="G398" t="str">
        <f>_xll.BDP($C398,"MATURITY")</f>
        <v>3/11/2030</v>
      </c>
      <c r="H398" t="str">
        <f>_xll.BDP($C398,"RTG_SP")</f>
        <v>BBB+</v>
      </c>
    </row>
    <row r="399" spans="1:8" x14ac:dyDescent="0.25">
      <c r="A399" s="1" t="s">
        <v>145</v>
      </c>
      <c r="B399" s="1" t="s">
        <v>1883</v>
      </c>
      <c r="C399" s="1" t="s">
        <v>1884</v>
      </c>
      <c r="D399" s="1" t="s">
        <v>1885</v>
      </c>
      <c r="E399">
        <f>_xll.BDP($C399,"DUR_ADJ_MID")</f>
        <v>2.571114215275192</v>
      </c>
      <c r="F399">
        <f>_xll.BDP($C399,"OAS_SPREAD_DUR_MID")</f>
        <v>2.585307317539614</v>
      </c>
      <c r="G399" t="str">
        <f>_xll.BDP($C399,"MATURITY")</f>
        <v>5/28/2029</v>
      </c>
      <c r="H399" t="str">
        <f>_xll.BDP($C399,"RTG_SP")</f>
        <v>BBB-</v>
      </c>
    </row>
    <row r="400" spans="1:8" x14ac:dyDescent="0.25">
      <c r="A400" s="1" t="s">
        <v>145</v>
      </c>
      <c r="B400" s="1" t="s">
        <v>1886</v>
      </c>
      <c r="C400" s="1" t="s">
        <v>1887</v>
      </c>
      <c r="D400" s="1" t="s">
        <v>1888</v>
      </c>
      <c r="E400">
        <f>_xll.BDP($C400,"DUR_ADJ_MID")</f>
        <v>1.6209892088875861</v>
      </c>
      <c r="F400">
        <f>_xll.BDP($C400,"OAS_SPREAD_DUR_MID")</f>
        <v>1.7181830049774061</v>
      </c>
      <c r="G400" t="str">
        <f>_xll.BDP($C400,"MATURITY")</f>
        <v>6/12/2028</v>
      </c>
      <c r="H400" t="str">
        <f>_xll.BDP($C400,"RTG_SP")</f>
        <v>BBB</v>
      </c>
    </row>
    <row r="401" spans="1:8" x14ac:dyDescent="0.25">
      <c r="A401" s="1" t="s">
        <v>145</v>
      </c>
      <c r="B401" s="1" t="s">
        <v>1889</v>
      </c>
      <c r="C401" s="1" t="s">
        <v>1890</v>
      </c>
      <c r="D401" s="1" t="s">
        <v>1891</v>
      </c>
      <c r="E401">
        <f>_xll.BDP($C401,"DUR_ADJ_MID")</f>
        <v>2.3446235660832606</v>
      </c>
      <c r="F401">
        <f>_xll.BDP($C401,"OAS_SPREAD_DUR_MID")</f>
        <v>2.4086397869979659</v>
      </c>
      <c r="G401" t="str">
        <f>_xll.BDP($C401,"MATURITY")</f>
        <v>4/15/2029</v>
      </c>
      <c r="H401" t="str">
        <f>_xll.BDP($C401,"RTG_SP")</f>
        <v>BBB</v>
      </c>
    </row>
    <row r="402" spans="1:8" x14ac:dyDescent="0.25">
      <c r="A402" s="1" t="s">
        <v>145</v>
      </c>
      <c r="B402" s="1" t="s">
        <v>1892</v>
      </c>
      <c r="C402" s="1" t="s">
        <v>1893</v>
      </c>
      <c r="D402" s="1" t="s">
        <v>1894</v>
      </c>
      <c r="E402">
        <f>_xll.BDP($C402,"DUR_ADJ_MID")</f>
        <v>2.8674392949351635</v>
      </c>
      <c r="F402">
        <f>_xll.BDP($C402,"OAS_SPREAD_DUR_MID")</f>
        <v>2.8308231704185181</v>
      </c>
      <c r="G402" t="str">
        <f>_xll.BDP($C402,"MATURITY")</f>
        <v>7/31/2029</v>
      </c>
      <c r="H402" t="str">
        <f>_xll.BDP($C402,"RTG_SP")</f>
        <v>A-</v>
      </c>
    </row>
    <row r="403" spans="1:8" x14ac:dyDescent="0.25">
      <c r="A403" s="1" t="s">
        <v>145</v>
      </c>
      <c r="B403" s="1" t="s">
        <v>1895</v>
      </c>
      <c r="C403" s="1" t="s">
        <v>1896</v>
      </c>
      <c r="D403" s="1" t="s">
        <v>1897</v>
      </c>
      <c r="E403">
        <f>_xll.BDP($C403,"DUR_ADJ_MID")</f>
        <v>1.4914932416789943</v>
      </c>
      <c r="F403">
        <f>_xll.BDP($C403,"OAS_SPREAD_DUR_MID")</f>
        <v>1.5139011542105363</v>
      </c>
      <c r="G403" t="str">
        <f>_xll.BDP($C403,"MATURITY")</f>
        <v>3/1/2028</v>
      </c>
      <c r="H403" t="str">
        <f>_xll.BDP($C403,"RTG_SP")</f>
        <v>BBB</v>
      </c>
    </row>
    <row r="404" spans="1:8" x14ac:dyDescent="0.25">
      <c r="A404" s="1" t="s">
        <v>145</v>
      </c>
      <c r="B404" s="1" t="s">
        <v>1898</v>
      </c>
      <c r="C404" s="1" t="s">
        <v>1899</v>
      </c>
      <c r="D404" s="1" t="s">
        <v>1900</v>
      </c>
      <c r="E404">
        <f>_xll.BDP($C404,"DUR_ADJ_MID")</f>
        <v>3.3537540494643645</v>
      </c>
      <c r="F404">
        <f>_xll.BDP($C404,"OAS_SPREAD_DUR_MID")</f>
        <v>3.393220497946118</v>
      </c>
      <c r="G404" t="str">
        <f>_xll.BDP($C404,"MATURITY")</f>
        <v>7/1/2030</v>
      </c>
      <c r="H404" t="str">
        <f>_xll.BDP($C404,"RTG_SP")</f>
        <v>BBB+</v>
      </c>
    </row>
    <row r="405" spans="1:8" x14ac:dyDescent="0.25">
      <c r="A405" s="1" t="s">
        <v>145</v>
      </c>
      <c r="B405" s="1" t="s">
        <v>1901</v>
      </c>
      <c r="C405" s="1" t="s">
        <v>1902</v>
      </c>
      <c r="D405" s="1" t="s">
        <v>1903</v>
      </c>
      <c r="E405">
        <f>_xll.BDP($C405,"DUR_ADJ_MID")</f>
        <v>3.419201118256963</v>
      </c>
      <c r="F405">
        <f>_xll.BDP($C405,"OAS_SPREAD_DUR_MID")</f>
        <v>3.3436328810545257</v>
      </c>
      <c r="G405" t="str">
        <f>_xll.BDP($C405,"MATURITY")</f>
        <v>3/19/2030</v>
      </c>
      <c r="H405" t="str">
        <f>_xll.BDP($C405,"RTG_SP")</f>
        <v>AA-</v>
      </c>
    </row>
    <row r="406" spans="1:8" x14ac:dyDescent="0.25">
      <c r="A406" s="1" t="s">
        <v>145</v>
      </c>
      <c r="B406" s="1" t="s">
        <v>1904</v>
      </c>
      <c r="C406" s="1" t="s">
        <v>1905</v>
      </c>
      <c r="D406" s="1" t="s">
        <v>1906</v>
      </c>
      <c r="E406">
        <f>_xll.BDP($C406,"DUR_ADJ_MID")</f>
        <v>1.7057558785503286</v>
      </c>
      <c r="F406">
        <f>_xll.BDP($C406,"OAS_SPREAD_DUR_MID")</f>
        <v>1.7357544401248524</v>
      </c>
      <c r="G406" t="str">
        <f>_xll.BDP($C406,"MATURITY")</f>
        <v>5/15/2028</v>
      </c>
      <c r="H406" t="str">
        <f>_xll.BDP($C406,"RTG_SP")</f>
        <v>AA-</v>
      </c>
    </row>
    <row r="407" spans="1:8" x14ac:dyDescent="0.25">
      <c r="A407" s="1" t="s">
        <v>145</v>
      </c>
      <c r="B407" s="1" t="s">
        <v>1907</v>
      </c>
      <c r="C407" s="1" t="s">
        <v>1908</v>
      </c>
      <c r="D407" s="1" t="s">
        <v>1909</v>
      </c>
      <c r="E407">
        <f>_xll.BDP($C407,"DUR_ADJ_MID")</f>
        <v>3.940360027867559</v>
      </c>
      <c r="F407">
        <f>_xll.BDP($C407,"OAS_SPREAD_DUR_MID")</f>
        <v>3.9095697901829856</v>
      </c>
      <c r="G407" t="str">
        <f>_xll.BDP($C407,"MATURITY")</f>
        <v>11/15/2030</v>
      </c>
      <c r="H407" t="str">
        <f>_xll.BDP($C407,"RTG_SP")</f>
        <v>AA-</v>
      </c>
    </row>
    <row r="408" spans="1:8" x14ac:dyDescent="0.25">
      <c r="A408" s="1" t="s">
        <v>145</v>
      </c>
      <c r="B408" s="1" t="s">
        <v>1910</v>
      </c>
      <c r="C408" s="1" t="s">
        <v>1911</v>
      </c>
      <c r="D408" s="1" t="s">
        <v>1912</v>
      </c>
      <c r="E408">
        <f>_xll.BDP($C408,"DUR_ADJ_MID")</f>
        <v>4.1635735104002372</v>
      </c>
      <c r="F408">
        <f>_xll.BDP($C408,"OAS_SPREAD_DUR_MID")</f>
        <v>4.1266329262952679</v>
      </c>
      <c r="G408" t="str">
        <f>_xll.BDP($C408,"MATURITY")</f>
        <v>3/15/2031</v>
      </c>
      <c r="H408" t="str">
        <f>_xll.BDP($C408,"RTG_SP")</f>
        <v>BBB+</v>
      </c>
    </row>
    <row r="409" spans="1:8" x14ac:dyDescent="0.25">
      <c r="A409" s="1" t="s">
        <v>145</v>
      </c>
      <c r="B409" s="1" t="s">
        <v>1913</v>
      </c>
      <c r="C409" s="1" t="s">
        <v>1914</v>
      </c>
      <c r="D409" s="1" t="s">
        <v>1915</v>
      </c>
      <c r="E409">
        <f>_xll.BDP($C409,"DUR_ADJ_MID")</f>
        <v>1.6039707454695764</v>
      </c>
      <c r="F409">
        <f>_xll.BDP($C409,"OAS_SPREAD_DUR_MID")</f>
        <v>1.6040928934570355</v>
      </c>
      <c r="G409" t="str">
        <f>_xll.BDP($C409,"MATURITY")</f>
        <v>3/10/2028</v>
      </c>
      <c r="H409" t="str">
        <f>_xll.BDP($C409,"RTG_SP")</f>
        <v>BBB</v>
      </c>
    </row>
    <row r="410" spans="1:8" x14ac:dyDescent="0.25">
      <c r="A410" s="1" t="s">
        <v>145</v>
      </c>
      <c r="B410" s="1" t="s">
        <v>1916</v>
      </c>
      <c r="C410" s="1" t="s">
        <v>1917</v>
      </c>
      <c r="D410" s="1" t="s">
        <v>1918</v>
      </c>
      <c r="E410">
        <f>_xll.BDP($C410,"DUR_ADJ_MID")</f>
        <v>2.48287050938933</v>
      </c>
      <c r="F410">
        <f>_xll.BDP($C410,"OAS_SPREAD_DUR_MID")</f>
        <v>2.4445878117277675</v>
      </c>
      <c r="G410" t="str">
        <f>_xll.BDP($C410,"MATURITY")</f>
        <v>3/10/2029</v>
      </c>
      <c r="H410" t="str">
        <f>_xll.BDP($C410,"RTG_SP")</f>
        <v>BBB</v>
      </c>
    </row>
    <row r="411" spans="1:8" x14ac:dyDescent="0.25">
      <c r="A411" s="1" t="s">
        <v>145</v>
      </c>
      <c r="B411" s="1" t="s">
        <v>1919</v>
      </c>
      <c r="C411" s="1" t="s">
        <v>1920</v>
      </c>
      <c r="D411" s="1" t="s">
        <v>1921</v>
      </c>
      <c r="E411">
        <f>_xll.BDP($C411,"DUR_ADJ_MID")</f>
        <v>3.2615374287786003</v>
      </c>
      <c r="F411" t="str">
        <f>_xll.BDP($C411,"OAS_SPREAD_DUR_MID")</f>
        <v>#N/A Field Not Applicable</v>
      </c>
      <c r="G411" t="str">
        <f>_xll.BDP($C411,"MATURITY")</f>
        <v>3/7/2031</v>
      </c>
      <c r="H411" t="str">
        <f>_xll.BDP($C411,"RTG_SP")</f>
        <v>#N/A N/A</v>
      </c>
    </row>
    <row r="412" spans="1:8" x14ac:dyDescent="0.25">
      <c r="A412" s="1" t="s">
        <v>145</v>
      </c>
      <c r="B412" s="1" t="s">
        <v>1922</v>
      </c>
      <c r="C412" s="1" t="s">
        <v>1923</v>
      </c>
      <c r="D412" s="1" t="s">
        <v>1924</v>
      </c>
      <c r="E412">
        <f>_xll.BDP($C412,"DUR_ADJ_MID")</f>
        <v>2.7650221470132186</v>
      </c>
      <c r="F412">
        <f>_xll.BDP($C412,"OAS_SPREAD_DUR_MID")</f>
        <v>2.7276255208396192</v>
      </c>
      <c r="G412" t="str">
        <f>_xll.BDP($C412,"MATURITY")</f>
        <v>7/1/2029</v>
      </c>
      <c r="H412" t="str">
        <f>_xll.BDP($C412,"RTG_SP")</f>
        <v>BBB</v>
      </c>
    </row>
    <row r="413" spans="1:8" x14ac:dyDescent="0.25">
      <c r="A413" s="1" t="s">
        <v>145</v>
      </c>
      <c r="B413" s="1" t="s">
        <v>1925</v>
      </c>
      <c r="C413" s="1" t="s">
        <v>1926</v>
      </c>
      <c r="D413" s="1" t="s">
        <v>1927</v>
      </c>
      <c r="E413">
        <f>_xll.BDP($C413,"DUR_ADJ_MID")</f>
        <v>2.6015414036850282</v>
      </c>
      <c r="F413">
        <f>_xll.BDP($C413,"OAS_SPREAD_DUR_MID")</f>
        <v>2.4890723872352662</v>
      </c>
      <c r="G413" t="str">
        <f>_xll.BDP($C413,"MATURITY")</f>
        <v>5/3/2029</v>
      </c>
      <c r="H413" t="str">
        <f>_xll.BDP($C413,"RTG_SP")</f>
        <v>BBB-</v>
      </c>
    </row>
    <row r="414" spans="1:8" x14ac:dyDescent="0.25">
      <c r="A414" s="1" t="s">
        <v>145</v>
      </c>
      <c r="B414" s="1" t="s">
        <v>1928</v>
      </c>
      <c r="C414" s="1" t="s">
        <v>1929</v>
      </c>
      <c r="D414" s="1" t="s">
        <v>1930</v>
      </c>
      <c r="E414">
        <f>_xll.BDP($C414,"DUR_ADJ_MID")</f>
        <v>3.647434385316044</v>
      </c>
      <c r="F414">
        <f>_xll.BDP($C414,"OAS_SPREAD_DUR_MID")</f>
        <v>3.6100130695072812</v>
      </c>
      <c r="G414" t="str">
        <f>_xll.BDP($C414,"MATURITY")</f>
        <v>7/29/2030</v>
      </c>
      <c r="H414" t="str">
        <f>_xll.BDP($C414,"RTG_SP")</f>
        <v>A-</v>
      </c>
    </row>
    <row r="415" spans="1:8" x14ac:dyDescent="0.25">
      <c r="A415" s="1" t="s">
        <v>145</v>
      </c>
      <c r="B415" s="1" t="s">
        <v>1931</v>
      </c>
      <c r="C415" s="1" t="s">
        <v>1932</v>
      </c>
      <c r="D415" s="1" t="s">
        <v>1933</v>
      </c>
      <c r="E415">
        <f>_xll.BDP($C415,"DUR_ADJ_MID")</f>
        <v>1.7085499880438098</v>
      </c>
      <c r="F415">
        <f>_xll.BDP($C415,"OAS_SPREAD_DUR_MID")</f>
        <v>1.6186553421734406</v>
      </c>
      <c r="G415" t="str">
        <f>_xll.BDP($C415,"MATURITY")</f>
        <v>4/17/2028</v>
      </c>
      <c r="H415" t="str">
        <f>_xll.BDP($C415,"RTG_SP")</f>
        <v>BBB</v>
      </c>
    </row>
    <row r="416" spans="1:8" x14ac:dyDescent="0.25">
      <c r="A416" s="1" t="s">
        <v>145</v>
      </c>
      <c r="B416" s="1" t="s">
        <v>1934</v>
      </c>
      <c r="C416" s="1" t="s">
        <v>1935</v>
      </c>
      <c r="D416" s="1" t="s">
        <v>1936</v>
      </c>
      <c r="E416">
        <f>_xll.BDP($C416,"DUR_ADJ_MID")</f>
        <v>1.344364725400611</v>
      </c>
      <c r="F416">
        <f>_xll.BDP($C416,"OAS_SPREAD_DUR_MID")</f>
        <v>1.36036381905671</v>
      </c>
      <c r="G416" t="str">
        <f>_xll.BDP($C416,"MATURITY")</f>
        <v>1/9/2028</v>
      </c>
      <c r="H416" t="str">
        <f>_xll.BDP($C416,"RTG_SP")</f>
        <v>BBB</v>
      </c>
    </row>
    <row r="417" spans="1:8" x14ac:dyDescent="0.25">
      <c r="A417" s="1" t="s">
        <v>145</v>
      </c>
      <c r="B417" s="1" t="s">
        <v>1937</v>
      </c>
      <c r="C417" s="1" t="s">
        <v>1938</v>
      </c>
      <c r="D417" s="1" t="s">
        <v>1939</v>
      </c>
      <c r="E417">
        <f>_xll.BDP($C417,"DUR_ADJ_MID")</f>
        <v>3.3450504274700701</v>
      </c>
      <c r="F417">
        <f>_xll.BDP($C417,"OAS_SPREAD_DUR_MID")</f>
        <v>3.2648621607990225</v>
      </c>
      <c r="G417" t="str">
        <f>_xll.BDP($C417,"MATURITY")</f>
        <v>3/15/2030</v>
      </c>
      <c r="H417" t="str">
        <f>_xll.BDP($C417,"RTG_SP")</f>
        <v>A</v>
      </c>
    </row>
    <row r="418" spans="1:8" x14ac:dyDescent="0.25">
      <c r="A418" s="1" t="s">
        <v>145</v>
      </c>
      <c r="B418" s="1" t="s">
        <v>1940</v>
      </c>
      <c r="C418" s="1" t="s">
        <v>1941</v>
      </c>
      <c r="D418" s="1" t="s">
        <v>1942</v>
      </c>
      <c r="E418">
        <f>_xll.BDP($C418,"DUR_ADJ_MID")</f>
        <v>1.791663363820275</v>
      </c>
      <c r="F418">
        <f>_xll.BDP($C418,"OAS_SPREAD_DUR_MID")</f>
        <v>1.7919152195163626</v>
      </c>
      <c r="G418" t="str">
        <f>_xll.BDP($C418,"MATURITY")</f>
        <v>5/15/2028</v>
      </c>
      <c r="H418" t="str">
        <f>_xll.BDP($C418,"RTG_SP")</f>
        <v>A</v>
      </c>
    </row>
    <row r="419" spans="1:8" x14ac:dyDescent="0.25">
      <c r="A419" s="1" t="s">
        <v>145</v>
      </c>
      <c r="B419" s="1" t="s">
        <v>1943</v>
      </c>
      <c r="C419" s="1" t="s">
        <v>1944</v>
      </c>
      <c r="D419" s="1" t="s">
        <v>1945</v>
      </c>
      <c r="E419">
        <f>_xll.BDP($C419,"DUR_ADJ_MID")</f>
        <v>2.5713598439003325</v>
      </c>
      <c r="F419" t="str">
        <f>_xll.BDP($C419,"OAS_SPREAD_DUR_MID")</f>
        <v>#N/A Field Not Applicable</v>
      </c>
      <c r="G419" t="str">
        <f>_xll.BDP($C419,"MATURITY")</f>
        <v>4/25/2030</v>
      </c>
      <c r="H419" t="str">
        <f>_xll.BDP($C419,"RTG_SP")</f>
        <v>BBB+</v>
      </c>
    </row>
    <row r="420" spans="1:8" x14ac:dyDescent="0.25">
      <c r="A420" s="1" t="s">
        <v>145</v>
      </c>
      <c r="B420" s="1" t="s">
        <v>1946</v>
      </c>
      <c r="C420" s="1" t="s">
        <v>1947</v>
      </c>
      <c r="D420" s="1" t="s">
        <v>1948</v>
      </c>
      <c r="E420">
        <f>_xll.BDP($C420,"DUR_ADJ_MID")</f>
        <v>1.4744162455707643</v>
      </c>
      <c r="F420" t="str">
        <f>_xll.BDP($C420,"OAS_SPREAD_DUR_MID")</f>
        <v>#N/A Field Not Applicable</v>
      </c>
      <c r="G420" t="str">
        <f>_xll.BDP($C420,"MATURITY")</f>
        <v>1/21/2029</v>
      </c>
      <c r="H420" t="str">
        <f>_xll.BDP($C420,"RTG_SP")</f>
        <v>BBB+</v>
      </c>
    </row>
    <row r="421" spans="1:8" x14ac:dyDescent="0.25">
      <c r="A421" s="1" t="s">
        <v>145</v>
      </c>
      <c r="B421" s="1" t="s">
        <v>1949</v>
      </c>
      <c r="C421" s="1" t="s">
        <v>1950</v>
      </c>
      <c r="D421" s="1" t="s">
        <v>1951</v>
      </c>
      <c r="E421">
        <f>_xll.BDP($C421,"DUR_ADJ_MID")</f>
        <v>3.8355608527421667</v>
      </c>
      <c r="F421">
        <f>_xll.BDP($C421,"OAS_SPREAD_DUR_MID")</f>
        <v>3.809844830143533</v>
      </c>
      <c r="G421" t="str">
        <f>_xll.BDP($C421,"MATURITY")</f>
        <v>1/31/2031</v>
      </c>
      <c r="H421" t="str">
        <f>_xll.BDP($C421,"RTG_SP")</f>
        <v>#N/A N/A</v>
      </c>
    </row>
    <row r="422" spans="1:8" x14ac:dyDescent="0.25">
      <c r="A422" s="1" t="s">
        <v>145</v>
      </c>
      <c r="B422" s="1" t="s">
        <v>1952</v>
      </c>
      <c r="C422" s="1" t="s">
        <v>1953</v>
      </c>
      <c r="D422" s="1" t="s">
        <v>1954</v>
      </c>
      <c r="E422">
        <f>_xll.BDP($C422,"DUR_ADJ_MID")</f>
        <v>3.7816286605244378</v>
      </c>
      <c r="F422">
        <f>_xll.BDP($C422,"OAS_SPREAD_DUR_MID")</f>
        <v>3.6846022148012616</v>
      </c>
      <c r="G422" t="str">
        <f>_xll.BDP($C422,"MATURITY")</f>
        <v>9/1/2030</v>
      </c>
      <c r="H422" t="str">
        <f>_xll.BDP($C422,"RTG_SP")</f>
        <v>BBB</v>
      </c>
    </row>
    <row r="423" spans="1:8" x14ac:dyDescent="0.25">
      <c r="A423" s="1" t="s">
        <v>145</v>
      </c>
      <c r="B423" s="1" t="s">
        <v>1955</v>
      </c>
      <c r="C423" s="1" t="s">
        <v>1956</v>
      </c>
      <c r="D423" s="1" t="s">
        <v>1957</v>
      </c>
      <c r="E423">
        <f>_xll.BDP($C423,"DUR_ADJ_MID")</f>
        <v>2.6962565120005464</v>
      </c>
      <c r="F423" t="str">
        <f>_xll.BDP($C423,"OAS_SPREAD_DUR_MID")</f>
        <v>#N/A Field Not Applicable</v>
      </c>
      <c r="G423" t="str">
        <f>_xll.BDP($C423,"MATURITY")</f>
        <v>5/22/2030</v>
      </c>
      <c r="H423" t="str">
        <f>_xll.BDP($C423,"RTG_SP")</f>
        <v>A-</v>
      </c>
    </row>
    <row r="424" spans="1:8" x14ac:dyDescent="0.25">
      <c r="A424" s="1" t="s">
        <v>145</v>
      </c>
      <c r="B424" s="1" t="s">
        <v>1958</v>
      </c>
      <c r="C424" s="1" t="s">
        <v>1959</v>
      </c>
      <c r="D424" s="1" t="s">
        <v>1960</v>
      </c>
      <c r="E424">
        <f>_xll.BDP($C424,"DUR_ADJ_MID")</f>
        <v>1.1962496517252259</v>
      </c>
      <c r="F424" t="str">
        <f>_xll.BDP($C424,"OAS_SPREAD_DUR_MID")</f>
        <v>#N/A Field Not Applicable</v>
      </c>
      <c r="G424" t="str">
        <f>_xll.BDP($C424,"MATURITY")</f>
        <v>9/22/2028</v>
      </c>
      <c r="H424" t="str">
        <f>_xll.BDP($C424,"RTG_SP")</f>
        <v>A-</v>
      </c>
    </row>
    <row r="425" spans="1:8" x14ac:dyDescent="0.25">
      <c r="A425" s="1" t="s">
        <v>145</v>
      </c>
      <c r="B425" s="1" t="s">
        <v>1961</v>
      </c>
      <c r="C425" s="1" t="s">
        <v>1962</v>
      </c>
      <c r="D425" s="1" t="s">
        <v>1963</v>
      </c>
      <c r="E425">
        <f>_xll.BDP($C425,"DUR_ADJ_MID")</f>
        <v>1.863364159840565</v>
      </c>
      <c r="F425">
        <f>_xll.BDP($C425,"OAS_SPREAD_DUR_MID")</f>
        <v>1.7591178895656552</v>
      </c>
      <c r="G425" t="str">
        <f>_xll.BDP($C425,"MATURITY")</f>
        <v>6/15/2028</v>
      </c>
      <c r="H425" t="str">
        <f>_xll.BDP($C425,"RTG_SP")</f>
        <v>BBB</v>
      </c>
    </row>
    <row r="426" spans="1:8" x14ac:dyDescent="0.25">
      <c r="A426" s="1" t="s">
        <v>145</v>
      </c>
      <c r="B426" s="1" t="s">
        <v>1964</v>
      </c>
      <c r="C426" s="1" t="s">
        <v>1965</v>
      </c>
      <c r="D426" s="1" t="s">
        <v>1966</v>
      </c>
      <c r="E426">
        <f>_xll.BDP($C426,"DUR_ADJ_MID")</f>
        <v>3.0064026722873041</v>
      </c>
      <c r="F426">
        <f>_xll.BDP($C426,"OAS_SPREAD_DUR_MID")</f>
        <v>2.970800232659037</v>
      </c>
      <c r="G426" t="str">
        <f>_xll.BDP($C426,"MATURITY")</f>
        <v>10/15/2029</v>
      </c>
      <c r="H426" t="str">
        <f>_xll.BDP($C426,"RTG_SP")</f>
        <v>BBB</v>
      </c>
    </row>
    <row r="427" spans="1:8" x14ac:dyDescent="0.25">
      <c r="A427" s="1" t="s">
        <v>145</v>
      </c>
      <c r="B427" s="1" t="s">
        <v>1967</v>
      </c>
      <c r="C427" s="1" t="s">
        <v>1968</v>
      </c>
      <c r="D427" s="1" t="s">
        <v>1969</v>
      </c>
      <c r="E427">
        <f>_xll.BDP($C427,"DUR_ADJ_MID")</f>
        <v>2.7984055432896477</v>
      </c>
      <c r="F427">
        <f>_xll.BDP($C427,"OAS_SPREAD_DUR_MID")</f>
        <v>2.7614418817456223</v>
      </c>
      <c r="G427" t="str">
        <f>_xll.BDP($C427,"MATURITY")</f>
        <v>6/15/2029</v>
      </c>
      <c r="H427" t="str">
        <f>_xll.BDP($C427,"RTG_SP")</f>
        <v>A</v>
      </c>
    </row>
    <row r="428" spans="1:8" x14ac:dyDescent="0.25">
      <c r="A428" s="1" t="s">
        <v>145</v>
      </c>
      <c r="B428" s="1" t="s">
        <v>1970</v>
      </c>
      <c r="C428" s="1" t="s">
        <v>1971</v>
      </c>
      <c r="D428" s="1" t="s">
        <v>1972</v>
      </c>
      <c r="E428">
        <f>_xll.BDP($C428,"DUR_ADJ_MID")</f>
        <v>4.4524759178154891</v>
      </c>
      <c r="F428">
        <f>_xll.BDP($C428,"OAS_SPREAD_DUR_MID")</f>
        <v>4.4499670140433967</v>
      </c>
      <c r="G428" t="str">
        <f>_xll.BDP($C428,"MATURITY")</f>
        <v>3/15/2031</v>
      </c>
      <c r="H428" t="str">
        <f>_xll.BDP($C428,"RTG_SP")</f>
        <v>A</v>
      </c>
    </row>
    <row r="429" spans="1:8" x14ac:dyDescent="0.25">
      <c r="A429" s="1" t="s">
        <v>145</v>
      </c>
      <c r="B429" s="1" t="s">
        <v>1973</v>
      </c>
      <c r="C429" s="1" t="s">
        <v>1974</v>
      </c>
      <c r="D429" s="1" t="s">
        <v>1975</v>
      </c>
      <c r="E429">
        <f>_xll.BDP($C429,"DUR_ADJ_MID")</f>
        <v>4.1727583604482019</v>
      </c>
      <c r="F429">
        <f>_xll.BDP($C429,"OAS_SPREAD_DUR_MID")</f>
        <v>4.135419652547716</v>
      </c>
      <c r="G429" t="str">
        <f>_xll.BDP($C429,"MATURITY")</f>
        <v>3/16/2031</v>
      </c>
      <c r="H429" t="str">
        <f>_xll.BDP($C429,"RTG_SP")</f>
        <v>BBB+</v>
      </c>
    </row>
    <row r="430" spans="1:8" x14ac:dyDescent="0.25">
      <c r="A430" s="1" t="s">
        <v>145</v>
      </c>
      <c r="B430" s="1" t="s">
        <v>1976</v>
      </c>
      <c r="C430" s="1" t="s">
        <v>1977</v>
      </c>
      <c r="D430" s="1" t="s">
        <v>1978</v>
      </c>
      <c r="E430">
        <f>_xll.BDP($C430,"DUR_ADJ_MID")</f>
        <v>2.3870339724769636</v>
      </c>
      <c r="F430">
        <f>_xll.BDP($C430,"OAS_SPREAD_DUR_MID")</f>
        <v>2.3718374933792425</v>
      </c>
      <c r="G430" t="str">
        <f>_xll.BDP($C430,"MATURITY")</f>
        <v>1/15/2029</v>
      </c>
      <c r="H430" t="str">
        <f>_xll.BDP($C430,"RTG_SP")</f>
        <v>BBB+</v>
      </c>
    </row>
    <row r="431" spans="1:8" x14ac:dyDescent="0.25">
      <c r="A431" s="1" t="s">
        <v>145</v>
      </c>
      <c r="B431" s="1" t="s">
        <v>1979</v>
      </c>
      <c r="C431" s="1" t="s">
        <v>1980</v>
      </c>
      <c r="D431" s="1" t="s">
        <v>1981</v>
      </c>
      <c r="E431">
        <f>_xll.BDP($C431,"DUR_ADJ_MID")</f>
        <v>1.9636613561238447</v>
      </c>
      <c r="F431" t="str">
        <f>_xll.BDP($C431,"OAS_SPREAD_DUR_MID")</f>
        <v>#N/A Field Not Applicable</v>
      </c>
      <c r="G431" t="str">
        <f>_xll.BDP($C431,"MATURITY")</f>
        <v>8/21/2029</v>
      </c>
      <c r="H431" t="str">
        <f>_xll.BDP($C431,"RTG_SP")</f>
        <v>BBB+</v>
      </c>
    </row>
    <row r="432" spans="1:8" x14ac:dyDescent="0.25">
      <c r="A432" s="1" t="s">
        <v>145</v>
      </c>
      <c r="B432" s="1" t="s">
        <v>1982</v>
      </c>
      <c r="C432" s="1" t="s">
        <v>1983</v>
      </c>
      <c r="D432" s="1" t="s">
        <v>1984</v>
      </c>
      <c r="E432">
        <f>_xll.BDP($C432,"DUR_ADJ_MID")</f>
        <v>4.1425605583995129</v>
      </c>
      <c r="F432" t="str">
        <f>_xll.BDP($C432,"OAS_SPREAD_DUR_MID")</f>
        <v>#N/A Field Not Applicable</v>
      </c>
      <c r="G432" t="str">
        <f>_xll.BDP($C432,"MATURITY")</f>
        <v>3/23/2032</v>
      </c>
      <c r="H432" t="str">
        <f>_xll.BDP($C432,"RTG_SP")</f>
        <v>A-</v>
      </c>
    </row>
    <row r="433" spans="1:8" x14ac:dyDescent="0.25">
      <c r="A433" s="1" t="s">
        <v>145</v>
      </c>
      <c r="B433" s="1" t="s">
        <v>1985</v>
      </c>
      <c r="C433" s="1" t="s">
        <v>1986</v>
      </c>
      <c r="D433" s="1" t="s">
        <v>1987</v>
      </c>
      <c r="E433">
        <f>_xll.BDP($C433,"DUR_ADJ_MID")</f>
        <v>2.7506639807704305</v>
      </c>
      <c r="F433">
        <f>_xll.BDP($C433,"OAS_SPREAD_DUR_MID")</f>
        <v>2.677624960395657</v>
      </c>
      <c r="G433" t="str">
        <f>_xll.BDP($C433,"MATURITY")</f>
        <v>6/15/2029</v>
      </c>
      <c r="H433" t="str">
        <f>_xll.BDP($C433,"RTG_SP")</f>
        <v>A-</v>
      </c>
    </row>
    <row r="434" spans="1:8" x14ac:dyDescent="0.25">
      <c r="A434" s="1" t="s">
        <v>145</v>
      </c>
      <c r="B434" s="1" t="s">
        <v>1988</v>
      </c>
      <c r="C434" s="1" t="s">
        <v>1989</v>
      </c>
      <c r="D434" s="1" t="s">
        <v>1990</v>
      </c>
      <c r="E434">
        <f>_xll.BDP($C434,"DUR_ADJ_MID")</f>
        <v>2.6968535785749919</v>
      </c>
      <c r="F434">
        <f>_xll.BDP($C434,"OAS_SPREAD_DUR_MID")</f>
        <v>2.6964791330417568</v>
      </c>
      <c r="G434" t="str">
        <f>_xll.BDP($C434,"MATURITY")</f>
        <v>5/15/2029</v>
      </c>
      <c r="H434" t="str">
        <f>_xll.BDP($C434,"RTG_SP")</f>
        <v>A-</v>
      </c>
    </row>
    <row r="435" spans="1:8" x14ac:dyDescent="0.25">
      <c r="A435" s="1" t="s">
        <v>145</v>
      </c>
      <c r="B435" s="1" t="s">
        <v>1991</v>
      </c>
      <c r="C435" s="1" t="s">
        <v>1992</v>
      </c>
      <c r="D435" s="1" t="s">
        <v>1993</v>
      </c>
      <c r="E435">
        <f>_xll.BDP($C435,"DUR_ADJ_MID")</f>
        <v>1.0222537788257096</v>
      </c>
      <c r="F435" t="str">
        <f>_xll.BDP($C435,"OAS_SPREAD_DUR_MID")</f>
        <v>#N/A Field Not Applicable</v>
      </c>
      <c r="G435" t="str">
        <f>_xll.BDP($C435,"MATURITY")</f>
        <v>7/25/2028</v>
      </c>
      <c r="H435" t="str">
        <f>_xll.BDP($C435,"RTG_SP")</f>
        <v>A</v>
      </c>
    </row>
    <row r="436" spans="1:8" x14ac:dyDescent="0.25">
      <c r="A436" s="1" t="s">
        <v>145</v>
      </c>
      <c r="B436" s="1" t="s">
        <v>1994</v>
      </c>
      <c r="C436" s="1" t="s">
        <v>1995</v>
      </c>
      <c r="D436" s="1" t="s">
        <v>1996</v>
      </c>
      <c r="E436">
        <f>_xll.BDP($C436,"DUR_ADJ_MID")</f>
        <v>1.8060279046323144</v>
      </c>
      <c r="F436">
        <f>_xll.BDP($C436,"OAS_SPREAD_DUR_MID")</f>
        <v>1.6845765563678736</v>
      </c>
      <c r="G436" t="str">
        <f>_xll.BDP($C436,"MATURITY")</f>
        <v>5/25/2028</v>
      </c>
      <c r="H436" t="str">
        <f>_xll.BDP($C436,"RTG_SP")</f>
        <v>BBB-</v>
      </c>
    </row>
    <row r="437" spans="1:8" x14ac:dyDescent="0.25">
      <c r="A437" s="1" t="s">
        <v>145</v>
      </c>
      <c r="B437" s="1" t="s">
        <v>1997</v>
      </c>
      <c r="C437" s="1" t="s">
        <v>1998</v>
      </c>
      <c r="D437" s="1" t="s">
        <v>1999</v>
      </c>
      <c r="E437">
        <f>_xll.BDP($C437,"DUR_ADJ_MID")</f>
        <v>3.960837422132641</v>
      </c>
      <c r="F437">
        <f>_xll.BDP($C437,"OAS_SPREAD_DUR_MID")</f>
        <v>4.0063817515024693</v>
      </c>
      <c r="G437" t="str">
        <f>_xll.BDP($C437,"MATURITY")</f>
        <v>3/15/2031</v>
      </c>
      <c r="H437" t="str">
        <f>_xll.BDP($C437,"RTG_SP")</f>
        <v>BBB-</v>
      </c>
    </row>
    <row r="438" spans="1:8" x14ac:dyDescent="0.25">
      <c r="A438" s="1" t="s">
        <v>145</v>
      </c>
      <c r="B438" s="1" t="s">
        <v>2000</v>
      </c>
      <c r="C438" s="1" t="s">
        <v>2001</v>
      </c>
      <c r="D438" s="1" t="s">
        <v>2002</v>
      </c>
      <c r="E438">
        <f>_xll.BDP($C438,"DUR_ADJ_MID")</f>
        <v>3.3601741823242985</v>
      </c>
      <c r="F438" t="str">
        <f>_xll.BDP($C438,"OAS_SPREAD_DUR_MID")</f>
        <v>#N/A Field Not Applicable</v>
      </c>
      <c r="G438" t="str">
        <f>_xll.BDP($C438,"MATURITY")</f>
        <v>4/4/2031</v>
      </c>
      <c r="H438" t="str">
        <f>_xll.BDP($C438,"RTG_SP")</f>
        <v>BBB</v>
      </c>
    </row>
    <row r="439" spans="1:8" x14ac:dyDescent="0.25">
      <c r="A439" s="1" t="s">
        <v>145</v>
      </c>
      <c r="B439" s="1" t="s">
        <v>2003</v>
      </c>
      <c r="C439" s="1" t="s">
        <v>2004</v>
      </c>
      <c r="D439" s="1" t="s">
        <v>2005</v>
      </c>
      <c r="E439">
        <f>_xll.BDP($C439,"DUR_ADJ_MID")</f>
        <v>4.2629548648927544</v>
      </c>
      <c r="F439">
        <f>_xll.BDP($C439,"OAS_SPREAD_DUR_MID")</f>
        <v>4.2626388366776427</v>
      </c>
      <c r="G439" t="str">
        <f>_xll.BDP($C439,"MATURITY")</f>
        <v>2/15/2031</v>
      </c>
      <c r="H439" t="str">
        <f>_xll.BDP($C439,"RTG_SP")</f>
        <v>BBB</v>
      </c>
    </row>
    <row r="440" spans="1:8" x14ac:dyDescent="0.25">
      <c r="A440" s="1" t="s">
        <v>145</v>
      </c>
      <c r="B440" s="1" t="s">
        <v>2006</v>
      </c>
      <c r="C440" s="1" t="s">
        <v>2007</v>
      </c>
      <c r="D440" s="1" t="s">
        <v>2008</v>
      </c>
      <c r="E440">
        <f>_xll.BDP($C440,"DUR_ADJ_MID")</f>
        <v>1.3078358474664848</v>
      </c>
      <c r="F440" t="str">
        <f>_xll.BDP($C440,"OAS_SPREAD_DUR_MID")</f>
        <v>#N/A Field Not Applicable</v>
      </c>
      <c r="G440" t="str">
        <f>_xll.BDP($C440,"MATURITY")</f>
        <v>11/7/2028</v>
      </c>
      <c r="H440" t="str">
        <f>_xll.BDP($C440,"RTG_SP")</f>
        <v>A-</v>
      </c>
    </row>
    <row r="441" spans="1:8" x14ac:dyDescent="0.25">
      <c r="A441" s="1" t="s">
        <v>145</v>
      </c>
      <c r="B441" s="1" t="s">
        <v>2009</v>
      </c>
      <c r="C441" s="1" t="s">
        <v>2010</v>
      </c>
      <c r="D441" s="1" t="s">
        <v>2011</v>
      </c>
      <c r="E441">
        <f>_xll.BDP($C441,"DUR_ADJ_MID")</f>
        <v>4.3635176862740988</v>
      </c>
      <c r="F441">
        <f>_xll.BDP($C441,"OAS_SPREAD_DUR_MID")</f>
        <v>4.3412541731050966</v>
      </c>
      <c r="G441" t="str">
        <f>_xll.BDP($C441,"MATURITY")</f>
        <v>4/1/2031</v>
      </c>
      <c r="H441" t="str">
        <f>_xll.BDP($C441,"RTG_SP")</f>
        <v>BBB+</v>
      </c>
    </row>
    <row r="442" spans="1:8" x14ac:dyDescent="0.25">
      <c r="A442" s="1" t="s">
        <v>145</v>
      </c>
      <c r="B442" s="1" t="s">
        <v>2012</v>
      </c>
      <c r="C442" s="1" t="s">
        <v>2013</v>
      </c>
      <c r="D442" s="1" t="s">
        <v>2014</v>
      </c>
      <c r="E442">
        <f>_xll.BDP($C442,"DUR_ADJ_MID")</f>
        <v>2.1278840362274227</v>
      </c>
      <c r="F442" t="str">
        <f>_xll.BDP($C442,"OAS_SPREAD_DUR_MID")</f>
        <v>#N/A Field Not Applicable</v>
      </c>
      <c r="G442" t="str">
        <f>_xll.BDP($C442,"MATURITY")</f>
        <v>10/30/2029</v>
      </c>
      <c r="H442" t="str">
        <f>_xll.BDP($C442,"RTG_SP")</f>
        <v>BBB+</v>
      </c>
    </row>
    <row r="443" spans="1:8" x14ac:dyDescent="0.25">
      <c r="A443" s="1" t="s">
        <v>145</v>
      </c>
      <c r="B443" s="1" t="s">
        <v>2015</v>
      </c>
      <c r="C443" s="1" t="s">
        <v>2016</v>
      </c>
      <c r="D443" s="1" t="s">
        <v>2017</v>
      </c>
      <c r="E443">
        <f>_xll.BDP($C443,"DUR_ADJ_MID")</f>
        <v>4.0158725459757614</v>
      </c>
      <c r="F443" t="str">
        <f>_xll.BDP($C443,"OAS_SPREAD_DUR_MID")</f>
        <v>#N/A Field Not Applicable</v>
      </c>
      <c r="G443" t="str">
        <f>_xll.BDP($C443,"MATURITY")</f>
        <v>3/13/2032</v>
      </c>
      <c r="H443" t="str">
        <f>_xll.BDP($C443,"RTG_SP")</f>
        <v>BBB+</v>
      </c>
    </row>
    <row r="444" spans="1:8" x14ac:dyDescent="0.25">
      <c r="A444" s="1" t="s">
        <v>145</v>
      </c>
      <c r="B444" s="1" t="s">
        <v>2018</v>
      </c>
      <c r="C444" s="1" t="s">
        <v>2019</v>
      </c>
      <c r="D444" s="1" t="s">
        <v>2020</v>
      </c>
      <c r="E444">
        <f>_xll.BDP($C444,"DUR_ADJ_MID")</f>
        <v>4.0417716645704891</v>
      </c>
      <c r="F444">
        <f>_xll.BDP($C444,"OAS_SPREAD_DUR_MID")</f>
        <v>4.009608404089855</v>
      </c>
      <c r="G444" t="str">
        <f>_xll.BDP($C444,"MATURITY")</f>
        <v>2/15/2031</v>
      </c>
      <c r="H444" t="str">
        <f>_xll.BDP($C444,"RTG_SP")</f>
        <v>BBB</v>
      </c>
    </row>
    <row r="445" spans="1:8" x14ac:dyDescent="0.25">
      <c r="A445" s="1" t="s">
        <v>145</v>
      </c>
      <c r="B445" s="1" t="s">
        <v>2021</v>
      </c>
      <c r="C445" s="1" t="s">
        <v>2022</v>
      </c>
      <c r="D445" s="1" t="s">
        <v>2023</v>
      </c>
      <c r="E445">
        <f>_xll.BDP($C445,"DUR_ADJ_MID")</f>
        <v>2.5070398924313611</v>
      </c>
      <c r="F445">
        <f>_xll.BDP($C445,"OAS_SPREAD_DUR_MID")</f>
        <v>2.3865102314195132</v>
      </c>
      <c r="G445" t="str">
        <f>_xll.BDP($C445,"MATURITY")</f>
        <v>3/15/2029</v>
      </c>
      <c r="H445" t="str">
        <f>_xll.BDP($C445,"RTG_SP")</f>
        <v>A-</v>
      </c>
    </row>
    <row r="446" spans="1:8" x14ac:dyDescent="0.25">
      <c r="A446" s="1" t="s">
        <v>145</v>
      </c>
      <c r="B446" s="1" t="s">
        <v>2024</v>
      </c>
      <c r="C446" s="1" t="s">
        <v>2025</v>
      </c>
      <c r="D446" s="1" t="s">
        <v>2026</v>
      </c>
      <c r="E446">
        <f>_xll.BDP($C446,"DUR_ADJ_MID")</f>
        <v>3.583571008781878</v>
      </c>
      <c r="F446">
        <f>_xll.BDP($C446,"OAS_SPREAD_DUR_MID")</f>
        <v>3.4674911978527638</v>
      </c>
      <c r="G446" t="str">
        <f>_xll.BDP($C446,"MATURITY")</f>
        <v>6/15/2030</v>
      </c>
      <c r="H446" t="str">
        <f>_xll.BDP($C446,"RTG_SP")</f>
        <v>BBB</v>
      </c>
    </row>
    <row r="447" spans="1:8" x14ac:dyDescent="0.25">
      <c r="A447" s="1" t="s">
        <v>145</v>
      </c>
      <c r="B447" s="1" t="s">
        <v>2027</v>
      </c>
      <c r="C447" s="1" t="s">
        <v>2028</v>
      </c>
      <c r="D447" s="1" t="s">
        <v>2029</v>
      </c>
      <c r="E447">
        <f>_xll.BDP($C447,"DUR_ADJ_MID")</f>
        <v>2.7614658147182194</v>
      </c>
      <c r="F447">
        <f>_xll.BDP($C447,"OAS_SPREAD_DUR_MID")</f>
        <v>2.7215405318031207</v>
      </c>
      <c r="G447" t="str">
        <f>_xll.BDP($C447,"MATURITY")</f>
        <v>6/1/2029</v>
      </c>
      <c r="H447" t="str">
        <f>_xll.BDP($C447,"RTG_SP")</f>
        <v>A+</v>
      </c>
    </row>
    <row r="448" spans="1:8" x14ac:dyDescent="0.25">
      <c r="A448" s="1" t="s">
        <v>145</v>
      </c>
      <c r="B448" s="1" t="s">
        <v>2030</v>
      </c>
      <c r="C448" s="1" t="s">
        <v>2031</v>
      </c>
      <c r="D448" s="1" t="s">
        <v>2032</v>
      </c>
      <c r="E448">
        <f>_xll.BDP($C448,"DUR_ADJ_MID")</f>
        <v>2.5179855706862293</v>
      </c>
      <c r="F448">
        <f>_xll.BDP($C448,"OAS_SPREAD_DUR_MID")</f>
        <v>2.4498310313373963</v>
      </c>
      <c r="G448" t="str">
        <f>_xll.BDP($C448,"MATURITY")</f>
        <v>3/7/2029</v>
      </c>
      <c r="H448" t="str">
        <f>_xll.BDP($C448,"RTG_SP")</f>
        <v>A+</v>
      </c>
    </row>
    <row r="449" spans="1:8" x14ac:dyDescent="0.25">
      <c r="A449" s="1" t="s">
        <v>145</v>
      </c>
      <c r="B449" s="1" t="s">
        <v>2033</v>
      </c>
      <c r="C449" s="1" t="s">
        <v>2034</v>
      </c>
      <c r="D449" s="1" t="s">
        <v>2035</v>
      </c>
      <c r="E449">
        <f>_xll.BDP($C449,"DUR_ADJ_MID")</f>
        <v>2.4115530135406127</v>
      </c>
      <c r="F449">
        <f>_xll.BDP($C449,"OAS_SPREAD_DUR_MID")</f>
        <v>2.434662299286777</v>
      </c>
      <c r="G449" t="str">
        <f>_xll.BDP($C449,"MATURITY")</f>
        <v>3/15/2029</v>
      </c>
      <c r="H449" t="str">
        <f>_xll.BDP($C449,"RTG_SP")</f>
        <v>#N/A N/A</v>
      </c>
    </row>
    <row r="450" spans="1:8" x14ac:dyDescent="0.25">
      <c r="A450" s="1" t="s">
        <v>145</v>
      </c>
      <c r="B450" s="1" t="s">
        <v>2036</v>
      </c>
      <c r="C450" s="1" t="s">
        <v>2037</v>
      </c>
      <c r="D450" s="1" t="s">
        <v>2038</v>
      </c>
      <c r="E450">
        <f>_xll.BDP($C450,"DUR_ADJ_MID")</f>
        <v>2.6113305556183319</v>
      </c>
      <c r="F450">
        <f>_xll.BDP($C450,"OAS_SPREAD_DUR_MID")</f>
        <v>2.534641122258082</v>
      </c>
      <c r="G450" t="str">
        <f>_xll.BDP($C450,"MATURITY")</f>
        <v>4/15/2029</v>
      </c>
      <c r="H450" t="str">
        <f>_xll.BDP($C450,"RTG_SP")</f>
        <v>A</v>
      </c>
    </row>
    <row r="451" spans="1:8" x14ac:dyDescent="0.25">
      <c r="A451" s="1" t="s">
        <v>145</v>
      </c>
      <c r="B451" s="1" t="s">
        <v>2039</v>
      </c>
      <c r="C451" s="1" t="s">
        <v>2040</v>
      </c>
      <c r="D451" s="1" t="s">
        <v>2041</v>
      </c>
      <c r="E451">
        <f>_xll.BDP($C451,"DUR_ADJ_MID")</f>
        <v>2.8292906961109465</v>
      </c>
      <c r="F451">
        <f>_xll.BDP($C451,"OAS_SPREAD_DUR_MID")</f>
        <v>2.8291094500736507</v>
      </c>
      <c r="G451" t="str">
        <f>_xll.BDP($C451,"MATURITY")</f>
        <v>7/18/2029</v>
      </c>
      <c r="H451" t="str">
        <f>_xll.BDP($C451,"RTG_SP")</f>
        <v>A-</v>
      </c>
    </row>
    <row r="452" spans="1:8" x14ac:dyDescent="0.25">
      <c r="A452" s="1" t="s">
        <v>145</v>
      </c>
      <c r="B452" s="1" t="s">
        <v>2042</v>
      </c>
      <c r="C452" s="1" t="s">
        <v>2043</v>
      </c>
      <c r="D452" s="1" t="s">
        <v>2044</v>
      </c>
      <c r="E452">
        <f>_xll.BDP($C452,"DUR_ADJ_MID")</f>
        <v>4.2150799530073737</v>
      </c>
      <c r="F452" t="str">
        <f>_xll.BDP($C452,"OAS_SPREAD_DUR_MID")</f>
        <v>#N/A Field Not Applicable</v>
      </c>
      <c r="G452" t="str">
        <f>_xll.BDP($C452,"MATURITY")</f>
        <v>4/21/2032</v>
      </c>
      <c r="H452" t="str">
        <f>_xll.BDP($C452,"RTG_SP")</f>
        <v>A-</v>
      </c>
    </row>
    <row r="453" spans="1:8" x14ac:dyDescent="0.25">
      <c r="A453" s="1" t="s">
        <v>145</v>
      </c>
      <c r="B453" s="1" t="s">
        <v>2045</v>
      </c>
      <c r="C453" s="1" t="s">
        <v>2046</v>
      </c>
      <c r="D453" s="1" t="s">
        <v>2047</v>
      </c>
      <c r="E453">
        <f>_xll.BDP($C453,"DUR_ADJ_MID")</f>
        <v>3.4739571509589484</v>
      </c>
      <c r="F453" t="str">
        <f>_xll.BDP($C453,"OAS_SPREAD_DUR_MID")</f>
        <v>#N/A Field Not Applicable</v>
      </c>
      <c r="G453" t="str">
        <f>_xll.BDP($C453,"MATURITY")</f>
        <v>5/27/2031</v>
      </c>
      <c r="H453" t="str">
        <f>_xll.BDP($C453,"RTG_SP")</f>
        <v>A-</v>
      </c>
    </row>
    <row r="454" spans="1:8" x14ac:dyDescent="0.25">
      <c r="A454" s="1" t="s">
        <v>145</v>
      </c>
      <c r="B454" s="1" t="s">
        <v>2048</v>
      </c>
      <c r="C454" s="1" t="s">
        <v>2049</v>
      </c>
      <c r="D454" s="1" t="s">
        <v>2050</v>
      </c>
      <c r="E454">
        <f>_xll.BDP($C454,"DUR_ADJ_MID")</f>
        <v>2.359905703350313</v>
      </c>
      <c r="F454" t="str">
        <f>_xll.BDP($C454,"OAS_SPREAD_DUR_MID")</f>
        <v>#N/A Field Not Applicable</v>
      </c>
      <c r="G454" t="str">
        <f>_xll.BDP($C454,"MATURITY")</f>
        <v>1/23/2030</v>
      </c>
      <c r="H454" t="str">
        <f>_xll.BDP($C454,"RTG_SP")</f>
        <v>A-</v>
      </c>
    </row>
    <row r="455" spans="1:8" x14ac:dyDescent="0.25">
      <c r="A455" s="1" t="s">
        <v>145</v>
      </c>
      <c r="B455" s="1" t="s">
        <v>2051</v>
      </c>
      <c r="C455" s="1" t="s">
        <v>2052</v>
      </c>
      <c r="D455" s="1" t="s">
        <v>2053</v>
      </c>
      <c r="E455">
        <f>_xll.BDP($C455,"DUR_ADJ_MID")</f>
        <v>1.4878262912836822</v>
      </c>
      <c r="F455" t="str">
        <f>_xll.BDP($C455,"OAS_SPREAD_DUR_MID")</f>
        <v>#N/A Field Not Applicable</v>
      </c>
      <c r="G455" t="str">
        <f>_xll.BDP($C455,"MATURITY")</f>
        <v>1/24/2029</v>
      </c>
      <c r="H455" t="str">
        <f>_xll.BDP($C455,"RTG_SP")</f>
        <v>A-</v>
      </c>
    </row>
    <row r="456" spans="1:8" x14ac:dyDescent="0.25">
      <c r="A456" s="1" t="s">
        <v>145</v>
      </c>
      <c r="B456" s="1" t="s">
        <v>2054</v>
      </c>
      <c r="C456" s="1" t="s">
        <v>2055</v>
      </c>
      <c r="D456" s="1" t="s">
        <v>2056</v>
      </c>
      <c r="E456">
        <f>_xll.BDP($C456,"DUR_ADJ_MID")</f>
        <v>4.478744564198049</v>
      </c>
      <c r="F456">
        <f>_xll.BDP($C456,"OAS_SPREAD_DUR_MID")</f>
        <v>4.464412564191945</v>
      </c>
      <c r="G456" t="str">
        <f>_xll.BDP($C456,"MATURITY")</f>
        <v>5/11/2031</v>
      </c>
      <c r="H456" t="str">
        <f>_xll.BDP($C456,"RTG_SP")</f>
        <v>BBB+</v>
      </c>
    </row>
    <row r="457" spans="1:8" x14ac:dyDescent="0.25">
      <c r="A457" s="1" t="s">
        <v>145</v>
      </c>
      <c r="B457" s="1" t="s">
        <v>2057</v>
      </c>
      <c r="C457" s="1" t="s">
        <v>2058</v>
      </c>
      <c r="D457" s="1" t="s">
        <v>2059</v>
      </c>
      <c r="E457">
        <f>_xll.BDP($C457,"DUR_ADJ_MID")</f>
        <v>1.529513274130549</v>
      </c>
      <c r="F457">
        <f>_xll.BDP($C457,"OAS_SPREAD_DUR_MID")</f>
        <v>1.5039899503782881</v>
      </c>
      <c r="G457" t="str">
        <f>_xll.BDP($C457,"MATURITY")</f>
        <v>2/7/2028</v>
      </c>
      <c r="H457" t="str">
        <f>_xll.BDP($C457,"RTG_SP")</f>
        <v>A-</v>
      </c>
    </row>
    <row r="458" spans="1:8" x14ac:dyDescent="0.25">
      <c r="A458" s="1" t="s">
        <v>145</v>
      </c>
      <c r="B458" s="1" t="s">
        <v>2060</v>
      </c>
      <c r="C458" s="1" t="s">
        <v>2061</v>
      </c>
      <c r="D458" s="1" t="s">
        <v>2062</v>
      </c>
      <c r="E458">
        <f>_xll.BDP($C458,"DUR_ADJ_MID")</f>
        <v>2.0308591096667907</v>
      </c>
      <c r="F458" t="str">
        <f>_xll.BDP($C458,"OAS_SPREAD_DUR_MID")</f>
        <v>#N/A Field Not Applicable</v>
      </c>
      <c r="G458" t="str">
        <f>_xll.BDP($C458,"MATURITY")</f>
        <v>9/13/2029</v>
      </c>
      <c r="H458" t="str">
        <f>_xll.BDP($C458,"RTG_SP")</f>
        <v>A-</v>
      </c>
    </row>
    <row r="459" spans="1:8" x14ac:dyDescent="0.25">
      <c r="A459" s="1" t="s">
        <v>145</v>
      </c>
      <c r="B459" s="1" t="s">
        <v>2063</v>
      </c>
      <c r="C459" s="1" t="s">
        <v>2064</v>
      </c>
      <c r="D459" s="1" t="s">
        <v>2065</v>
      </c>
      <c r="E459">
        <f>_xll.BDP($C459,"DUR_ADJ_MID")</f>
        <v>3.6825750536224842</v>
      </c>
      <c r="F459">
        <f>_xll.BDP($C459,"OAS_SPREAD_DUR_MID")</f>
        <v>3.6777653011309206</v>
      </c>
      <c r="G459" t="str">
        <f>_xll.BDP($C459,"MATURITY")</f>
        <v>6/1/2030</v>
      </c>
      <c r="H459" t="str">
        <f>_xll.BDP($C459,"RTG_SP")</f>
        <v>BBB+</v>
      </c>
    </row>
    <row r="460" spans="1:8" x14ac:dyDescent="0.25">
      <c r="A460" s="1" t="s">
        <v>145</v>
      </c>
      <c r="B460" s="1" t="s">
        <v>2066</v>
      </c>
      <c r="C460" s="1" t="s">
        <v>2067</v>
      </c>
      <c r="D460" s="1" t="s">
        <v>2068</v>
      </c>
      <c r="E460">
        <f>_xll.BDP($C460,"DUR_ADJ_MID")</f>
        <v>3.4764235934958672</v>
      </c>
      <c r="F460">
        <f>_xll.BDP($C460,"OAS_SPREAD_DUR_MID")</f>
        <v>3.4391534529642747</v>
      </c>
      <c r="G460" t="str">
        <f>_xll.BDP($C460,"MATURITY")</f>
        <v>3/27/2030</v>
      </c>
      <c r="H460" t="str">
        <f>_xll.BDP($C460,"RTG_SP")</f>
        <v>A+</v>
      </c>
    </row>
    <row r="461" spans="1:8" x14ac:dyDescent="0.25">
      <c r="A461" s="1" t="s">
        <v>145</v>
      </c>
      <c r="B461" s="1" t="s">
        <v>2069</v>
      </c>
      <c r="C461" s="1" t="s">
        <v>2070</v>
      </c>
      <c r="D461" s="1" t="s">
        <v>2071</v>
      </c>
      <c r="E461">
        <f>_xll.BDP($C461,"DUR_ADJ_MID")</f>
        <v>2.6789408752872803</v>
      </c>
      <c r="F461">
        <f>_xll.BDP($C461,"OAS_SPREAD_DUR_MID")</f>
        <v>2.6209796705136035</v>
      </c>
      <c r="G461" t="str">
        <f>_xll.BDP($C461,"MATURITY")</f>
        <v>5/3/2029</v>
      </c>
      <c r="H461" t="str">
        <f>_xll.BDP($C461,"RTG_SP")</f>
        <v>A+</v>
      </c>
    </row>
    <row r="462" spans="1:8" x14ac:dyDescent="0.25">
      <c r="A462" s="1" t="s">
        <v>145</v>
      </c>
      <c r="B462" s="1" t="s">
        <v>2072</v>
      </c>
      <c r="C462" s="1" t="s">
        <v>2073</v>
      </c>
      <c r="D462" s="1" t="s">
        <v>2074</v>
      </c>
      <c r="E462">
        <f>_xll.BDP($C462,"DUR_ADJ_MID")</f>
        <v>1.4725701678469756</v>
      </c>
      <c r="F462">
        <f>_xll.BDP($C462,"OAS_SPREAD_DUR_MID")</f>
        <v>1.4494557236927617</v>
      </c>
      <c r="G462" t="str">
        <f>_xll.BDP($C462,"MATURITY")</f>
        <v>1/15/2028</v>
      </c>
      <c r="H462" t="str">
        <f>_xll.BDP($C462,"RTG_SP")</f>
        <v>BBB+</v>
      </c>
    </row>
    <row r="463" spans="1:8" x14ac:dyDescent="0.25">
      <c r="A463" s="1" t="s">
        <v>145</v>
      </c>
      <c r="B463" s="1" t="s">
        <v>2075</v>
      </c>
      <c r="C463" s="1" t="s">
        <v>2076</v>
      </c>
      <c r="D463" s="1" t="s">
        <v>2077</v>
      </c>
      <c r="E463">
        <f>_xll.BDP($C463,"DUR_ADJ_MID")</f>
        <v>2.5204216678292637</v>
      </c>
      <c r="F463">
        <f>_xll.BDP($C463,"OAS_SPREAD_DUR_MID")</f>
        <v>2.4804954278593931</v>
      </c>
      <c r="G463" t="str">
        <f>_xll.BDP($C463,"MATURITY")</f>
        <v>3/16/2029</v>
      </c>
      <c r="H463" t="str">
        <f>_xll.BDP($C463,"RTG_SP")</f>
        <v>AA-</v>
      </c>
    </row>
    <row r="464" spans="1:8" x14ac:dyDescent="0.25">
      <c r="A464" s="1" t="s">
        <v>145</v>
      </c>
      <c r="B464" s="1" t="s">
        <v>2078</v>
      </c>
      <c r="C464" s="1" t="s">
        <v>2079</v>
      </c>
      <c r="D464" s="1" t="s">
        <v>2080</v>
      </c>
      <c r="E464">
        <f>_xll.BDP($C464,"DUR_ADJ_MID")</f>
        <v>1.1867391943745564</v>
      </c>
      <c r="F464">
        <f>_xll.BDP($C464,"OAS_SPREAD_DUR_MID")</f>
        <v>1.1617057415290288</v>
      </c>
      <c r="G464" t="str">
        <f>_xll.BDP($C464,"MATURITY")</f>
        <v>9/24/2027</v>
      </c>
      <c r="H464" t="str">
        <f>_xll.BDP($C464,"RTG_SP")</f>
        <v>BBB</v>
      </c>
    </row>
    <row r="465" spans="1:8" x14ac:dyDescent="0.25">
      <c r="A465" s="1" t="s">
        <v>145</v>
      </c>
      <c r="B465" s="1" t="s">
        <v>2081</v>
      </c>
      <c r="C465" s="1" t="s">
        <v>2082</v>
      </c>
      <c r="D465" s="1" t="s">
        <v>2083</v>
      </c>
      <c r="E465">
        <f>_xll.BDP($C465,"DUR_ADJ_MID")</f>
        <v>4.3009478037228766</v>
      </c>
      <c r="F465">
        <f>_xll.BDP($C465,"OAS_SPREAD_DUR_MID")</f>
        <v>4.2909174853962098</v>
      </c>
      <c r="G465" t="str">
        <f>_xll.BDP($C465,"MATURITY")</f>
        <v>3/25/2031</v>
      </c>
      <c r="H465" t="str">
        <f>_xll.BDP($C465,"RTG_SP")</f>
        <v>BBB</v>
      </c>
    </row>
    <row r="466" spans="1:8" x14ac:dyDescent="0.25">
      <c r="A466" s="1" t="s">
        <v>145</v>
      </c>
      <c r="B466" s="1" t="s">
        <v>2084</v>
      </c>
      <c r="C466" s="1" t="s">
        <v>2085</v>
      </c>
      <c r="D466" s="1" t="s">
        <v>2086</v>
      </c>
      <c r="E466">
        <f>_xll.BDP($C466,"DUR_ADJ_MID")</f>
        <v>2.4388975757881863</v>
      </c>
      <c r="F466">
        <f>_xll.BDP($C466,"OAS_SPREAD_DUR_MID")</f>
        <v>2.395222768086493</v>
      </c>
      <c r="G466" t="str">
        <f>_xll.BDP($C466,"MATURITY")</f>
        <v>3/15/2029</v>
      </c>
      <c r="H466" t="str">
        <f>_xll.BDP($C466,"RTG_SP")</f>
        <v>BBB-</v>
      </c>
    </row>
    <row r="467" spans="1:8" x14ac:dyDescent="0.25">
      <c r="A467" s="1" t="s">
        <v>145</v>
      </c>
      <c r="B467" s="1" t="s">
        <v>2087</v>
      </c>
      <c r="C467" s="1" t="s">
        <v>2088</v>
      </c>
      <c r="D467" s="1" t="s">
        <v>2089</v>
      </c>
      <c r="E467">
        <f>_xll.BDP($C467,"DUR_ADJ_MID")</f>
        <v>2.631432349833899</v>
      </c>
      <c r="F467" t="str">
        <f>_xll.BDP($C467,"OAS_SPREAD_DUR_MID")</f>
        <v>#N/A Field Not Applicable</v>
      </c>
      <c r="G467" t="str">
        <f>_xll.BDP($C467,"MATURITY")</f>
        <v>5/14/2030</v>
      </c>
      <c r="H467" t="str">
        <f>_xll.BDP($C467,"RTG_SP")</f>
        <v>A-</v>
      </c>
    </row>
    <row r="468" spans="1:8" x14ac:dyDescent="0.25">
      <c r="A468" s="1" t="s">
        <v>145</v>
      </c>
      <c r="B468" s="1" t="s">
        <v>2090</v>
      </c>
      <c r="C468" s="1" t="s">
        <v>2091</v>
      </c>
      <c r="D468" s="1" t="s">
        <v>2092</v>
      </c>
      <c r="E468">
        <f>_xll.BDP($C468,"DUR_ADJ_MID")</f>
        <v>3.4811959821370269</v>
      </c>
      <c r="F468" t="str">
        <f>_xll.BDP($C468,"OAS_SPREAD_DUR_MID")</f>
        <v>#N/A Field Not Applicable</v>
      </c>
      <c r="G468" t="str">
        <f>_xll.BDP($C468,"MATURITY")</f>
        <v>5/13/2031</v>
      </c>
      <c r="H468" t="str">
        <f>_xll.BDP($C468,"RTG_SP")</f>
        <v>A-</v>
      </c>
    </row>
    <row r="469" spans="1:8" x14ac:dyDescent="0.25">
      <c r="A469" s="1" t="s">
        <v>145</v>
      </c>
      <c r="B469" s="1" t="s">
        <v>2093</v>
      </c>
      <c r="C469" s="1" t="s">
        <v>2094</v>
      </c>
      <c r="D469" s="1" t="s">
        <v>2095</v>
      </c>
      <c r="E469">
        <f>_xll.BDP($C469,"DUR_ADJ_MID")</f>
        <v>3.5426246243394823</v>
      </c>
      <c r="F469">
        <f>_xll.BDP($C469,"OAS_SPREAD_DUR_MID")</f>
        <v>3.3415437136535697</v>
      </c>
      <c r="G469" t="str">
        <f>_xll.BDP($C469,"MATURITY")</f>
        <v>7/1/2030</v>
      </c>
      <c r="H469" t="str">
        <f>_xll.BDP($C469,"RTG_SP")</f>
        <v>BBB+</v>
      </c>
    </row>
    <row r="470" spans="1:8" x14ac:dyDescent="0.25">
      <c r="A470" s="1" t="s">
        <v>145</v>
      </c>
      <c r="B470" s="1" t="s">
        <v>2096</v>
      </c>
      <c r="C470" s="1" t="s">
        <v>2097</v>
      </c>
      <c r="D470" s="1" t="s">
        <v>2098</v>
      </c>
      <c r="E470">
        <f>_xll.BDP($C470,"DUR_ADJ_MID")</f>
        <v>1.4411928204692837</v>
      </c>
      <c r="F470">
        <f>_xll.BDP($C470,"OAS_SPREAD_DUR_MID")</f>
        <v>1.4810894923802764</v>
      </c>
      <c r="G470" t="str">
        <f>_xll.BDP($C470,"MATURITY")</f>
        <v>2/7/2028</v>
      </c>
      <c r="H470" t="str">
        <f>_xll.BDP($C470,"RTG_SP")</f>
        <v>A+</v>
      </c>
    </row>
    <row r="471" spans="1:8" x14ac:dyDescent="0.25">
      <c r="A471" s="1" t="s">
        <v>145</v>
      </c>
      <c r="B471" s="1" t="s">
        <v>2099</v>
      </c>
      <c r="C471" s="1" t="s">
        <v>2100</v>
      </c>
      <c r="D471" s="1" t="s">
        <v>2101</v>
      </c>
      <c r="E471">
        <f>_xll.BDP($C471,"DUR_ADJ_MID")</f>
        <v>3.3761577077983937</v>
      </c>
      <c r="F471">
        <f>_xll.BDP($C471,"OAS_SPREAD_DUR_MID")</f>
        <v>3.4318052165326689</v>
      </c>
      <c r="G471" t="str">
        <f>_xll.BDP($C471,"MATURITY")</f>
        <v>5/19/2030</v>
      </c>
      <c r="H471" t="str">
        <f>_xll.BDP($C471,"RTG_SP")</f>
        <v>A</v>
      </c>
    </row>
    <row r="472" spans="1:8" x14ac:dyDescent="0.25">
      <c r="A472" s="1" t="s">
        <v>145</v>
      </c>
      <c r="B472" s="1" t="s">
        <v>2102</v>
      </c>
      <c r="C472" s="1" t="s">
        <v>2103</v>
      </c>
      <c r="D472" s="1" t="s">
        <v>2104</v>
      </c>
      <c r="E472">
        <f>_xll.BDP($C472,"DUR_ADJ_MID")</f>
        <v>3.5004179319203486</v>
      </c>
      <c r="F472">
        <f>_xll.BDP($C472,"OAS_SPREAD_DUR_MID")</f>
        <v>3.4771852707668116</v>
      </c>
      <c r="G472" t="str">
        <f>_xll.BDP($C472,"MATURITY")</f>
        <v>4/1/2030</v>
      </c>
      <c r="H472" t="str">
        <f>_xll.BDP($C472,"RTG_SP")</f>
        <v>A</v>
      </c>
    </row>
    <row r="473" spans="1:8" x14ac:dyDescent="0.25">
      <c r="A473" s="1" t="s">
        <v>145</v>
      </c>
      <c r="B473" s="1" t="s">
        <v>2105</v>
      </c>
      <c r="C473" s="1" t="s">
        <v>2106</v>
      </c>
      <c r="D473" s="1" t="s">
        <v>2107</v>
      </c>
      <c r="E473">
        <f>_xll.BDP($C473,"DUR_ADJ_MID")</f>
        <v>3.0958340093945851</v>
      </c>
      <c r="F473">
        <f>_xll.BDP($C473,"OAS_SPREAD_DUR_MID")</f>
        <v>3.1469832733265091</v>
      </c>
      <c r="G473" t="str">
        <f>_xll.BDP($C473,"MATURITY")</f>
        <v>2/15/2030</v>
      </c>
      <c r="H473" t="str">
        <f>_xll.BDP($C473,"RTG_SP")</f>
        <v>A-</v>
      </c>
    </row>
    <row r="474" spans="1:8" x14ac:dyDescent="0.25">
      <c r="A474" s="1" t="s">
        <v>145</v>
      </c>
      <c r="B474" s="1" t="s">
        <v>2108</v>
      </c>
      <c r="C474" s="1" t="s">
        <v>2109</v>
      </c>
      <c r="D474" s="1" t="s">
        <v>2110</v>
      </c>
      <c r="E474">
        <f>_xll.BDP($C474,"DUR_ADJ_MID")</f>
        <v>4.2134031797987745</v>
      </c>
      <c r="F474" t="str">
        <f>_xll.BDP($C474,"OAS_SPREAD_DUR_MID")</f>
        <v>#N/A Field Not Applicable</v>
      </c>
      <c r="G474" t="str">
        <f>_xll.BDP($C474,"MATURITY")</f>
        <v>5/19/2032</v>
      </c>
      <c r="H474" t="str">
        <f>_xll.BDP($C474,"RTG_SP")</f>
        <v>BBB-</v>
      </c>
    </row>
    <row r="475" spans="1:8" x14ac:dyDescent="0.25">
      <c r="A475" s="1" t="s">
        <v>145</v>
      </c>
      <c r="B475" s="1" t="s">
        <v>2111</v>
      </c>
      <c r="C475" s="1" t="s">
        <v>2112</v>
      </c>
      <c r="D475" s="1" t="s">
        <v>2113</v>
      </c>
      <c r="E475">
        <f>_xll.BDP($C475,"DUR_ADJ_MID")</f>
        <v>3.4644005953477395</v>
      </c>
      <c r="F475">
        <f>_xll.BDP($C475,"OAS_SPREAD_DUR_MID")</f>
        <v>3.4626291679153032</v>
      </c>
      <c r="G475" t="str">
        <f>_xll.BDP($C475,"MATURITY")</f>
        <v>3/25/2030</v>
      </c>
      <c r="H475" t="str">
        <f>_xll.BDP($C475,"RTG_SP")</f>
        <v>AA-</v>
      </c>
    </row>
    <row r="476" spans="1:8" x14ac:dyDescent="0.25">
      <c r="A476" s="1" t="s">
        <v>145</v>
      </c>
      <c r="B476" s="1" t="s">
        <v>2114</v>
      </c>
      <c r="C476" s="1" t="s">
        <v>2115</v>
      </c>
      <c r="D476" s="1" t="s">
        <v>2116</v>
      </c>
      <c r="E476">
        <f>_xll.BDP($C476,"DUR_ADJ_MID")</f>
        <v>3.5607031033992889</v>
      </c>
      <c r="F476">
        <f>_xll.BDP($C476,"OAS_SPREAD_DUR_MID")</f>
        <v>3.5513655859204074</v>
      </c>
      <c r="G476" t="str">
        <f>_xll.BDP($C476,"MATURITY")</f>
        <v>4/15/2030</v>
      </c>
      <c r="H476" t="str">
        <f>_xll.BDP($C476,"RTG_SP")</f>
        <v>A</v>
      </c>
    </row>
    <row r="477" spans="1:8" x14ac:dyDescent="0.25">
      <c r="A477" s="1" t="s">
        <v>145</v>
      </c>
      <c r="B477" s="1" t="s">
        <v>2117</v>
      </c>
      <c r="C477" s="1" t="s">
        <v>2118</v>
      </c>
      <c r="D477" s="1" t="s">
        <v>2119</v>
      </c>
      <c r="E477">
        <f>_xll.BDP($C477,"DUR_ADJ_MID")</f>
        <v>2.5250744979470539</v>
      </c>
      <c r="F477">
        <f>_xll.BDP($C477,"OAS_SPREAD_DUR_MID")</f>
        <v>2.433509661781124</v>
      </c>
      <c r="G477" t="str">
        <f>_xll.BDP($C477,"MATURITY")</f>
        <v>3/18/2029</v>
      </c>
      <c r="H477" t="str">
        <f>_xll.BDP($C477,"RTG_SP")</f>
        <v>A-</v>
      </c>
    </row>
    <row r="478" spans="1:8" x14ac:dyDescent="0.25">
      <c r="A478" s="1" t="s">
        <v>145</v>
      </c>
      <c r="B478" s="1" t="s">
        <v>2120</v>
      </c>
      <c r="C478" s="1" t="s">
        <v>2121</v>
      </c>
      <c r="D478" s="1" t="s">
        <v>2122</v>
      </c>
      <c r="E478">
        <f>_xll.BDP($C478,"DUR_ADJ_MID")</f>
        <v>3.1901856185339765</v>
      </c>
      <c r="F478">
        <f>_xll.BDP($C478,"OAS_SPREAD_DUR_MID")</f>
        <v>3.2418198628279296</v>
      </c>
      <c r="G478" t="str">
        <f>_xll.BDP($C478,"MATURITY")</f>
        <v>3/15/2030</v>
      </c>
      <c r="H478" t="str">
        <f>_xll.BDP($C478,"RTG_SP")</f>
        <v>A-</v>
      </c>
    </row>
    <row r="479" spans="1:8" x14ac:dyDescent="0.25">
      <c r="A479" s="1" t="s">
        <v>145</v>
      </c>
      <c r="B479" s="1" t="s">
        <v>2123</v>
      </c>
      <c r="C479" s="1" t="s">
        <v>2124</v>
      </c>
      <c r="D479" s="1" t="s">
        <v>2125</v>
      </c>
      <c r="E479">
        <f>_xll.BDP($C479,"DUR_ADJ_MID")</f>
        <v>3.9594152787468655</v>
      </c>
      <c r="F479">
        <f>_xll.BDP($C479,"OAS_SPREAD_DUR_MID")</f>
        <v>3.9608446195666969</v>
      </c>
      <c r="G479" t="str">
        <f>_xll.BDP($C479,"MATURITY")</f>
        <v>9/15/2030</v>
      </c>
      <c r="H479" t="str">
        <f>_xll.BDP($C479,"RTG_SP")</f>
        <v>BBB+</v>
      </c>
    </row>
    <row r="480" spans="1:8" x14ac:dyDescent="0.25">
      <c r="A480" s="1" t="s">
        <v>145</v>
      </c>
      <c r="B480" s="1" t="s">
        <v>2126</v>
      </c>
      <c r="C480" s="1" t="s">
        <v>2127</v>
      </c>
      <c r="D480" s="1" t="s">
        <v>2128</v>
      </c>
      <c r="E480">
        <f>_xll.BDP($C480,"DUR_ADJ_MID")</f>
        <v>3.2562303832473081</v>
      </c>
      <c r="F480">
        <f>_xll.BDP($C480,"OAS_SPREAD_DUR_MID")</f>
        <v>3.2796873608068555</v>
      </c>
      <c r="G480" t="str">
        <f>_xll.BDP($C480,"MATURITY")</f>
        <v>3/14/2030</v>
      </c>
      <c r="H480" t="str">
        <f>_xll.BDP($C480,"RTG_SP")</f>
        <v>A</v>
      </c>
    </row>
    <row r="481" spans="1:8" x14ac:dyDescent="0.25">
      <c r="A481" s="1" t="s">
        <v>145</v>
      </c>
      <c r="B481" s="1" t="s">
        <v>2129</v>
      </c>
      <c r="C481" s="1" t="s">
        <v>2130</v>
      </c>
      <c r="D481" s="1" t="s">
        <v>2131</v>
      </c>
      <c r="E481">
        <f>_xll.BDP($C481,"DUR_ADJ_MID")</f>
        <v>2.331416499416568</v>
      </c>
      <c r="F481">
        <f>_xll.BDP($C481,"OAS_SPREAD_DUR_MID")</f>
        <v>2.3643688657846402</v>
      </c>
      <c r="G481" t="str">
        <f>_xll.BDP($C481,"MATURITY")</f>
        <v>2/15/2029</v>
      </c>
      <c r="H481" t="str">
        <f>_xll.BDP($C481,"RTG_SP")</f>
        <v>BBB-</v>
      </c>
    </row>
    <row r="482" spans="1:8" x14ac:dyDescent="0.25">
      <c r="A482" s="1" t="s">
        <v>145</v>
      </c>
      <c r="B482" s="1" t="s">
        <v>2132</v>
      </c>
      <c r="C482" s="1" t="s">
        <v>2133</v>
      </c>
      <c r="D482" s="1" t="s">
        <v>2134</v>
      </c>
      <c r="E482">
        <f>_xll.BDP($C482,"DUR_ADJ_MID")</f>
        <v>2.0711800464305425</v>
      </c>
      <c r="F482">
        <f>_xll.BDP($C482,"OAS_SPREAD_DUR_MID")</f>
        <v>1.9740085880306057</v>
      </c>
      <c r="G482" t="str">
        <f>_xll.BDP($C482,"MATURITY")</f>
        <v>9/15/2028</v>
      </c>
      <c r="H482" t="str">
        <f>_xll.BDP($C482,"RTG_SP")</f>
        <v>BBB+</v>
      </c>
    </row>
    <row r="483" spans="1:8" x14ac:dyDescent="0.25">
      <c r="A483" s="1" t="s">
        <v>145</v>
      </c>
      <c r="B483" s="1" t="s">
        <v>2135</v>
      </c>
      <c r="C483" s="1" t="s">
        <v>2136</v>
      </c>
      <c r="D483" s="1" t="s">
        <v>2137</v>
      </c>
      <c r="E483">
        <f>_xll.BDP($C483,"DUR_ADJ_MID")</f>
        <v>3.1981973693083923</v>
      </c>
      <c r="F483" t="str">
        <f>_xll.BDP($C483,"OAS_SPREAD_DUR_MID")</f>
        <v>#N/A Field Not Applicable</v>
      </c>
      <c r="G483" t="str">
        <f>_xll.BDP($C483,"MATURITY")</f>
        <v>2/4/2031</v>
      </c>
      <c r="H483" t="str">
        <f>_xll.BDP($C483,"RTG_SP")</f>
        <v>A</v>
      </c>
    </row>
    <row r="484" spans="1:8" x14ac:dyDescent="0.25">
      <c r="A484" s="1" t="s">
        <v>145</v>
      </c>
      <c r="B484" s="1" t="s">
        <v>2138</v>
      </c>
      <c r="C484" s="1" t="s">
        <v>2139</v>
      </c>
      <c r="D484" s="1" t="s">
        <v>2140</v>
      </c>
      <c r="E484">
        <f>_xll.BDP($C484,"DUR_ADJ_MID")</f>
        <v>1.2945633235637666</v>
      </c>
      <c r="F484" t="str">
        <f>_xll.BDP($C484,"OAS_SPREAD_DUR_MID")</f>
        <v>#N/A Field Not Applicable</v>
      </c>
      <c r="G484" t="str">
        <f>_xll.BDP($C484,"MATURITY")</f>
        <v>11/3/2028</v>
      </c>
      <c r="H484" t="str">
        <f>_xll.BDP($C484,"RTG_SP")</f>
        <v>A</v>
      </c>
    </row>
    <row r="485" spans="1:8" x14ac:dyDescent="0.25">
      <c r="A485" s="1" t="s">
        <v>145</v>
      </c>
      <c r="B485" s="1" t="s">
        <v>2141</v>
      </c>
      <c r="C485" s="1" t="s">
        <v>2142</v>
      </c>
      <c r="D485" s="1" t="s">
        <v>2143</v>
      </c>
      <c r="E485">
        <f>_xll.BDP($C485,"DUR_ADJ_MID")</f>
        <v>3.5067901091759692</v>
      </c>
      <c r="F485">
        <f>_xll.BDP($C485,"OAS_SPREAD_DUR_MID")</f>
        <v>3.284790275530836</v>
      </c>
      <c r="G485" t="str">
        <f>_xll.BDP($C485,"MATURITY")</f>
        <v>5/15/2030</v>
      </c>
      <c r="H485" t="str">
        <f>_xll.BDP($C485,"RTG_SP")</f>
        <v>BBB+</v>
      </c>
    </row>
    <row r="486" spans="1:8" x14ac:dyDescent="0.25">
      <c r="A486" s="1" t="s">
        <v>145</v>
      </c>
      <c r="B486" s="1" t="s">
        <v>2144</v>
      </c>
      <c r="C486" s="1" t="s">
        <v>2145</v>
      </c>
      <c r="D486" s="1" t="s">
        <v>2146</v>
      </c>
      <c r="E486">
        <f>_xll.BDP($C486,"DUR_ADJ_MID")</f>
        <v>1.6174319244949338</v>
      </c>
      <c r="F486">
        <f>_xll.BDP($C486,"OAS_SPREAD_DUR_MID")</f>
        <v>1.5777792590090389</v>
      </c>
      <c r="G486" t="str">
        <f>_xll.BDP($C486,"MATURITY")</f>
        <v>3/15/2028</v>
      </c>
      <c r="H486" t="str">
        <f>_xll.BDP($C486,"RTG_SP")</f>
        <v>A+</v>
      </c>
    </row>
    <row r="487" spans="1:8" x14ac:dyDescent="0.25">
      <c r="A487" s="1" t="s">
        <v>145</v>
      </c>
      <c r="B487" s="1" t="s">
        <v>2147</v>
      </c>
      <c r="C487" s="1" t="s">
        <v>2148</v>
      </c>
      <c r="D487" s="1" t="s">
        <v>2149</v>
      </c>
      <c r="E487">
        <f>_xll.BDP($C487,"DUR_ADJ_MID")</f>
        <v>2.4955466385962897</v>
      </c>
      <c r="F487">
        <f>_xll.BDP($C487,"OAS_SPREAD_DUR_MID")</f>
        <v>2.4514837290563096</v>
      </c>
      <c r="G487" t="str">
        <f>_xll.BDP($C487,"MATURITY")</f>
        <v>3/15/2029</v>
      </c>
      <c r="H487" t="str">
        <f>_xll.BDP($C487,"RTG_SP")</f>
        <v>A+</v>
      </c>
    </row>
    <row r="488" spans="1:8" x14ac:dyDescent="0.25">
      <c r="A488" s="1" t="s">
        <v>145</v>
      </c>
      <c r="B488" s="1" t="s">
        <v>2150</v>
      </c>
      <c r="C488" s="1" t="s">
        <v>2151</v>
      </c>
      <c r="D488" s="1" t="s">
        <v>2152</v>
      </c>
      <c r="E488">
        <f>_xll.BDP($C488,"DUR_ADJ_MID")</f>
        <v>1.5738964249415959</v>
      </c>
      <c r="F488" t="str">
        <f>_xll.BDP($C488,"OAS_SPREAD_DUR_MID")</f>
        <v>#N/A Field Not Applicable</v>
      </c>
      <c r="G488" t="str">
        <f>_xll.BDP($C488,"MATURITY")</f>
        <v>3/9/2029</v>
      </c>
      <c r="H488" t="str">
        <f>_xll.BDP($C488,"RTG_SP")</f>
        <v>BBB+</v>
      </c>
    </row>
    <row r="489" spans="1:8" x14ac:dyDescent="0.25">
      <c r="A489" s="1" t="s">
        <v>145</v>
      </c>
      <c r="B489" s="1" t="s">
        <v>2153</v>
      </c>
      <c r="C489" s="1" t="s">
        <v>2154</v>
      </c>
      <c r="D489" s="1" t="s">
        <v>2155</v>
      </c>
      <c r="E489">
        <f>_xll.BDP($C489,"DUR_ADJ_MID")</f>
        <v>2.1982351815658663</v>
      </c>
      <c r="F489" t="str">
        <f>_xll.BDP($C489,"OAS_SPREAD_DUR_MID")</f>
        <v>#N/A Field Not Applicable</v>
      </c>
      <c r="G489" t="str">
        <f>_xll.BDP($C489,"MATURITY")</f>
        <v>11/17/2029</v>
      </c>
      <c r="H489" t="str">
        <f>_xll.BDP($C489,"RTG_SP")</f>
        <v>A-</v>
      </c>
    </row>
    <row r="490" spans="1:8" x14ac:dyDescent="0.25">
      <c r="A490" s="1" t="s">
        <v>145</v>
      </c>
      <c r="B490" s="1" t="s">
        <v>2156</v>
      </c>
      <c r="C490" s="1" t="s">
        <v>2157</v>
      </c>
      <c r="D490" s="1" t="s">
        <v>2158</v>
      </c>
      <c r="E490">
        <f>_xll.BDP($C490,"DUR_ADJ_MID")</f>
        <v>1.5120958900242585</v>
      </c>
      <c r="F490">
        <f>_xll.BDP($C490,"OAS_SPREAD_DUR_MID")</f>
        <v>1.4947797927298718</v>
      </c>
      <c r="G490" t="str">
        <f>_xll.BDP($C490,"MATURITY")</f>
        <v>2/1/2028</v>
      </c>
      <c r="H490" t="str">
        <f>_xll.BDP($C490,"RTG_SP")</f>
        <v>BBB</v>
      </c>
    </row>
    <row r="491" spans="1:8" x14ac:dyDescent="0.25">
      <c r="A491" s="1" t="s">
        <v>145</v>
      </c>
      <c r="B491" s="1" t="s">
        <v>2159</v>
      </c>
      <c r="C491" s="1" t="s">
        <v>2160</v>
      </c>
      <c r="D491" s="1" t="s">
        <v>2161</v>
      </c>
      <c r="E491">
        <f>_xll.BDP($C491,"DUR_ADJ_MID")</f>
        <v>2.9156111137024521</v>
      </c>
      <c r="F491">
        <f>_xll.BDP($C491,"OAS_SPREAD_DUR_MID")</f>
        <v>2.8884965624661625</v>
      </c>
      <c r="G491" t="str">
        <f>_xll.BDP($C491,"MATURITY")</f>
        <v>8/15/2029</v>
      </c>
      <c r="H491" t="str">
        <f>_xll.BDP($C491,"RTG_SP")</f>
        <v>BBB</v>
      </c>
    </row>
    <row r="492" spans="1:8" x14ac:dyDescent="0.25">
      <c r="A492" s="1" t="s">
        <v>145</v>
      </c>
      <c r="B492" s="1" t="s">
        <v>2162</v>
      </c>
      <c r="C492" s="1" t="s">
        <v>2163</v>
      </c>
      <c r="D492" s="1" t="s">
        <v>2164</v>
      </c>
      <c r="E492">
        <f>_xll.BDP($C492,"DUR_ADJ_MID")</f>
        <v>3.0150104726718316</v>
      </c>
      <c r="F492">
        <f>_xll.BDP($C492,"OAS_SPREAD_DUR_MID")</f>
        <v>3.0074469115897227</v>
      </c>
      <c r="G492" t="str">
        <f>_xll.BDP($C492,"MATURITY")</f>
        <v>9/13/2029</v>
      </c>
      <c r="H492" t="str">
        <f>_xll.BDP($C492,"RTG_SP")</f>
        <v>A</v>
      </c>
    </row>
    <row r="493" spans="1:8" x14ac:dyDescent="0.25">
      <c r="A493" s="1" t="s">
        <v>145</v>
      </c>
      <c r="B493" s="1" t="s">
        <v>2165</v>
      </c>
      <c r="C493" s="1" t="s">
        <v>2166</v>
      </c>
      <c r="D493" s="1" t="s">
        <v>2167</v>
      </c>
      <c r="E493">
        <f>_xll.BDP($C493,"DUR_ADJ_MID")</f>
        <v>2.3644362550562068</v>
      </c>
      <c r="F493">
        <f>_xll.BDP($C493,"OAS_SPREAD_DUR_MID")</f>
        <v>2.3850672886128645</v>
      </c>
      <c r="G493" t="str">
        <f>_xll.BDP($C493,"MATURITY")</f>
        <v>3/1/2029</v>
      </c>
      <c r="H493" t="str">
        <f>_xll.BDP($C493,"RTG_SP")</f>
        <v>BBB</v>
      </c>
    </row>
    <row r="494" spans="1:8" x14ac:dyDescent="0.25">
      <c r="A494" s="1" t="s">
        <v>145</v>
      </c>
      <c r="B494" s="1" t="s">
        <v>2168</v>
      </c>
      <c r="C494" s="1" t="s">
        <v>2169</v>
      </c>
      <c r="D494" s="1" t="s">
        <v>2170</v>
      </c>
      <c r="E494">
        <f>_xll.BDP($C494,"DUR_ADJ_MID")</f>
        <v>2.6141220547691009</v>
      </c>
      <c r="F494">
        <f>_xll.BDP($C494,"OAS_SPREAD_DUR_MID")</f>
        <v>2.6413739193099826</v>
      </c>
      <c r="G494" t="str">
        <f>_xll.BDP($C494,"MATURITY")</f>
        <v>6/1/2029</v>
      </c>
      <c r="H494" t="str">
        <f>_xll.BDP($C494,"RTG_SP")</f>
        <v>BBB+</v>
      </c>
    </row>
    <row r="495" spans="1:8" x14ac:dyDescent="0.25">
      <c r="A495" s="1" t="s">
        <v>145</v>
      </c>
      <c r="B495" s="1" t="s">
        <v>2171</v>
      </c>
      <c r="C495" s="1" t="s">
        <v>2172</v>
      </c>
      <c r="D495" s="1" t="s">
        <v>2173</v>
      </c>
      <c r="E495">
        <f>_xll.BDP($C495,"DUR_ADJ_MID")</f>
        <v>2.1790187458862453</v>
      </c>
      <c r="F495">
        <f>_xll.BDP($C495,"OAS_SPREAD_DUR_MID")</f>
        <v>2.1824931355506321</v>
      </c>
      <c r="G495" t="str">
        <f>_xll.BDP($C495,"MATURITY")</f>
        <v>11/15/2028</v>
      </c>
      <c r="H495" t="str">
        <f>_xll.BDP($C495,"RTG_SP")</f>
        <v>BBB+</v>
      </c>
    </row>
    <row r="496" spans="1:8" x14ac:dyDescent="0.25">
      <c r="A496" s="1" t="s">
        <v>145</v>
      </c>
      <c r="B496" s="1" t="s">
        <v>2174</v>
      </c>
      <c r="C496" s="1" t="s">
        <v>2175</v>
      </c>
      <c r="D496" s="1" t="s">
        <v>2176</v>
      </c>
      <c r="E496">
        <f>_xll.BDP($C496,"DUR_ADJ_MID")</f>
        <v>4.0593169684761126</v>
      </c>
      <c r="F496">
        <f>_xll.BDP($C496,"OAS_SPREAD_DUR_MID")</f>
        <v>4.0445575062834802</v>
      </c>
      <c r="G496" t="str">
        <f>_xll.BDP($C496,"MATURITY")</f>
        <v>11/15/2030</v>
      </c>
      <c r="H496" t="str">
        <f>_xll.BDP($C496,"RTG_SP")</f>
        <v>BBB+</v>
      </c>
    </row>
    <row r="497" spans="1:8" x14ac:dyDescent="0.25">
      <c r="A497" s="1" t="s">
        <v>145</v>
      </c>
      <c r="B497" s="1" t="s">
        <v>2177</v>
      </c>
      <c r="C497" s="1" t="s">
        <v>2178</v>
      </c>
      <c r="D497" s="1" t="s">
        <v>2179</v>
      </c>
      <c r="E497">
        <f>_xll.BDP($C497,"DUR_ADJ_MID")</f>
        <v>1.4970896664986579</v>
      </c>
      <c r="F497">
        <f>_xll.BDP($C497,"OAS_SPREAD_DUR_MID")</f>
        <v>1.5345617249758343</v>
      </c>
      <c r="G497" t="str">
        <f>_xll.BDP($C497,"MATURITY")</f>
        <v>2/28/2028</v>
      </c>
      <c r="H497" t="str">
        <f>_xll.BDP($C497,"RTG_SP")</f>
        <v>A</v>
      </c>
    </row>
    <row r="498" spans="1:8" x14ac:dyDescent="0.25">
      <c r="A498" s="1" t="s">
        <v>145</v>
      </c>
      <c r="B498" s="1" t="s">
        <v>2180</v>
      </c>
      <c r="C498" s="1" t="s">
        <v>2181</v>
      </c>
      <c r="D498" s="1" t="s">
        <v>2182</v>
      </c>
      <c r="E498">
        <f>_xll.BDP($C498,"DUR_ADJ_MID")</f>
        <v>2.1276176648536862</v>
      </c>
      <c r="F498">
        <f>_xll.BDP($C498,"OAS_SPREAD_DUR_MID")</f>
        <v>2.1310574001719509</v>
      </c>
      <c r="G498" t="str">
        <f>_xll.BDP($C498,"MATURITY")</f>
        <v>9/17/2028</v>
      </c>
      <c r="H498" t="str">
        <f>_xll.BDP($C498,"RTG_SP")</f>
        <v>A-</v>
      </c>
    </row>
    <row r="499" spans="1:8" x14ac:dyDescent="0.25">
      <c r="A499" s="1" t="s">
        <v>145</v>
      </c>
      <c r="B499" s="1" t="s">
        <v>2183</v>
      </c>
      <c r="C499" s="1" t="s">
        <v>2184</v>
      </c>
      <c r="D499" s="1" t="s">
        <v>2185</v>
      </c>
      <c r="E499">
        <f>_xll.BDP($C499,"DUR_ADJ_MID")</f>
        <v>3.9839231800697106</v>
      </c>
      <c r="F499" t="str">
        <f>_xll.BDP($C499,"OAS_SPREAD_DUR_MID")</f>
        <v>#N/A Field Not Applicable</v>
      </c>
      <c r="G499" t="str">
        <f>_xll.BDP($C499,"MATURITY")</f>
        <v>1/15/2032</v>
      </c>
      <c r="H499" t="str">
        <f>_xll.BDP($C499,"RTG_SP")</f>
        <v>A-</v>
      </c>
    </row>
    <row r="500" spans="1:8" x14ac:dyDescent="0.25">
      <c r="A500" s="1" t="s">
        <v>145</v>
      </c>
      <c r="B500" s="1" t="s">
        <v>2186</v>
      </c>
      <c r="C500" s="1" t="s">
        <v>2187</v>
      </c>
      <c r="D500" s="1" t="s">
        <v>2188</v>
      </c>
      <c r="E500">
        <f>_xll.BDP($C500,"DUR_ADJ_MID")</f>
        <v>3.460226157826201</v>
      </c>
      <c r="F500">
        <f>_xll.BDP($C500,"OAS_SPREAD_DUR_MID")</f>
        <v>3.382373521483891</v>
      </c>
      <c r="G500" t="str">
        <f>_xll.BDP($C500,"MATURITY")</f>
        <v>4/15/2030</v>
      </c>
      <c r="H500" t="str">
        <f>_xll.BDP($C500,"RTG_SP")</f>
        <v>BBB+</v>
      </c>
    </row>
    <row r="501" spans="1:8" x14ac:dyDescent="0.25">
      <c r="A501" s="1" t="s">
        <v>145</v>
      </c>
      <c r="B501" s="1" t="s">
        <v>2189</v>
      </c>
      <c r="C501" s="1" t="s">
        <v>2190</v>
      </c>
      <c r="D501" s="1" t="s">
        <v>2191</v>
      </c>
      <c r="E501">
        <f>_xll.BDP($C501,"DUR_ADJ_MID")</f>
        <v>2.5229888496688266</v>
      </c>
      <c r="F501">
        <f>_xll.BDP($C501,"OAS_SPREAD_DUR_MID")</f>
        <v>2.4828164511066562</v>
      </c>
      <c r="G501" t="str">
        <f>_xll.BDP($C501,"MATURITY")</f>
        <v>3/24/2029</v>
      </c>
      <c r="H501" t="str">
        <f>_xll.BDP($C501,"RTG_SP")</f>
        <v>BBB</v>
      </c>
    </row>
    <row r="502" spans="1:8" x14ac:dyDescent="0.25">
      <c r="A502" s="1" t="s">
        <v>145</v>
      </c>
      <c r="B502" s="1" t="s">
        <v>2192</v>
      </c>
      <c r="C502" s="1" t="s">
        <v>2193</v>
      </c>
      <c r="D502" s="1" t="s">
        <v>2194</v>
      </c>
      <c r="E502">
        <f>_xll.BDP($C502,"DUR_ADJ_MID")</f>
        <v>2.6221785911643778</v>
      </c>
      <c r="F502">
        <f>_xll.BDP($C502,"OAS_SPREAD_DUR_MID")</f>
        <v>2.5544204690658749</v>
      </c>
      <c r="G502" t="str">
        <f>_xll.BDP($C502,"MATURITY")</f>
        <v>4/15/2029</v>
      </c>
      <c r="H502" t="str">
        <f>_xll.BDP($C502,"RTG_SP")</f>
        <v>A</v>
      </c>
    </row>
    <row r="503" spans="1:8" x14ac:dyDescent="0.25">
      <c r="A503" s="1" t="s">
        <v>145</v>
      </c>
      <c r="B503" s="1" t="s">
        <v>2195</v>
      </c>
      <c r="C503" s="1" t="s">
        <v>2196</v>
      </c>
      <c r="D503" s="1" t="s">
        <v>2197</v>
      </c>
      <c r="E503">
        <f>_xll.BDP($C503,"DUR_ADJ_MID")</f>
        <v>2.3441591621710511</v>
      </c>
      <c r="F503">
        <f>_xll.BDP($C503,"OAS_SPREAD_DUR_MID")</f>
        <v>2.3585226701467787</v>
      </c>
      <c r="G503" t="str">
        <f>_xll.BDP($C503,"MATURITY")</f>
        <v>3/1/2029</v>
      </c>
      <c r="H503" t="str">
        <f>_xll.BDP($C503,"RTG_SP")</f>
        <v>BBB</v>
      </c>
    </row>
    <row r="504" spans="1:8" x14ac:dyDescent="0.25">
      <c r="A504" s="1" t="s">
        <v>145</v>
      </c>
      <c r="B504" s="1" t="s">
        <v>2198</v>
      </c>
      <c r="C504" s="1" t="s">
        <v>2199</v>
      </c>
      <c r="D504" s="1" t="s">
        <v>2200</v>
      </c>
      <c r="E504">
        <f>_xll.BDP($C504,"DUR_ADJ_MID")</f>
        <v>1.6915135569356188</v>
      </c>
      <c r="F504">
        <f>_xll.BDP($C504,"OAS_SPREAD_DUR_MID")</f>
        <v>1.6928412510655231</v>
      </c>
      <c r="G504" t="str">
        <f>_xll.BDP($C504,"MATURITY")</f>
        <v>4/1/2028</v>
      </c>
      <c r="H504" t="str">
        <f>_xll.BDP($C504,"RTG_SP")</f>
        <v>BBB</v>
      </c>
    </row>
    <row r="505" spans="1:8" x14ac:dyDescent="0.25">
      <c r="A505" s="1" t="s">
        <v>145</v>
      </c>
      <c r="B505" s="1" t="s">
        <v>2201</v>
      </c>
      <c r="C505" s="1" t="s">
        <v>2202</v>
      </c>
      <c r="D505" s="1" t="s">
        <v>2203</v>
      </c>
      <c r="E505">
        <f>_xll.BDP($C505,"DUR_ADJ_MID")</f>
        <v>3.5276020672294011</v>
      </c>
      <c r="F505">
        <f>_xll.BDP($C505,"OAS_SPREAD_DUR_MID")</f>
        <v>3.5289349027419017</v>
      </c>
      <c r="G505" t="str">
        <f>_xll.BDP($C505,"MATURITY")</f>
        <v>9/15/2030</v>
      </c>
      <c r="H505" t="str">
        <f>_xll.BDP($C505,"RTG_SP")</f>
        <v>BBB-</v>
      </c>
    </row>
    <row r="506" spans="1:8" x14ac:dyDescent="0.25">
      <c r="A506" s="1" t="s">
        <v>145</v>
      </c>
      <c r="B506" s="1" t="s">
        <v>2204</v>
      </c>
      <c r="C506" s="1" t="s">
        <v>2205</v>
      </c>
      <c r="D506" s="1" t="s">
        <v>2206</v>
      </c>
      <c r="E506">
        <f>_xll.BDP($C506,"DUR_ADJ_MID")</f>
        <v>3.0028025386047656</v>
      </c>
      <c r="F506">
        <f>_xll.BDP($C506,"OAS_SPREAD_DUR_MID")</f>
        <v>2.996991810661747</v>
      </c>
      <c r="G506" t="str">
        <f>_xll.BDP($C506,"MATURITY")</f>
        <v>9/4/2029</v>
      </c>
      <c r="H506" t="str">
        <f>_xll.BDP($C506,"RTG_SP")</f>
        <v>A+</v>
      </c>
    </row>
    <row r="507" spans="1:8" x14ac:dyDescent="0.25">
      <c r="A507" s="1" t="s">
        <v>145</v>
      </c>
      <c r="B507" s="1" t="s">
        <v>2207</v>
      </c>
      <c r="C507" s="1" t="s">
        <v>2208</v>
      </c>
      <c r="D507" s="1" t="s">
        <v>2209</v>
      </c>
      <c r="E507">
        <f>_xll.BDP($C507,"DUR_ADJ_MID")</f>
        <v>2.4167246579619541</v>
      </c>
      <c r="F507">
        <f>_xll.BDP($C507,"OAS_SPREAD_DUR_MID")</f>
        <v>2.4413463496452201</v>
      </c>
      <c r="G507" t="str">
        <f>_xll.BDP($C507,"MATURITY")</f>
        <v>3/15/2029</v>
      </c>
      <c r="H507" t="str">
        <f>_xll.BDP($C507,"RTG_SP")</f>
        <v>BBB+</v>
      </c>
    </row>
    <row r="508" spans="1:8" x14ac:dyDescent="0.25">
      <c r="A508" s="1" t="s">
        <v>145</v>
      </c>
      <c r="B508" s="1" t="s">
        <v>2210</v>
      </c>
      <c r="C508" s="1" t="s">
        <v>2211</v>
      </c>
      <c r="D508" s="1" t="s">
        <v>2212</v>
      </c>
      <c r="E508">
        <f>_xll.BDP($C508,"DUR_ADJ_MID")</f>
        <v>3.5417439829118869</v>
      </c>
      <c r="F508">
        <f>_xll.BDP($C508,"OAS_SPREAD_DUR_MID")</f>
        <v>3.5425008479409938</v>
      </c>
      <c r="G508" t="str">
        <f>_xll.BDP($C508,"MATURITY")</f>
        <v>6/3/2030</v>
      </c>
      <c r="H508" t="str">
        <f>_xll.BDP($C508,"RTG_SP")</f>
        <v>A-</v>
      </c>
    </row>
    <row r="509" spans="1:8" x14ac:dyDescent="0.25">
      <c r="A509" s="1" t="s">
        <v>145</v>
      </c>
      <c r="B509" s="1" t="s">
        <v>2213</v>
      </c>
      <c r="C509" s="1" t="s">
        <v>2214</v>
      </c>
      <c r="D509" s="1" t="s">
        <v>2215</v>
      </c>
      <c r="E509">
        <f>_xll.BDP($C509,"DUR_ADJ_MID")</f>
        <v>3.267567656465947</v>
      </c>
      <c r="F509">
        <f>_xll.BDP($C509,"OAS_SPREAD_DUR_MID")</f>
        <v>3.242997435221719</v>
      </c>
      <c r="G509" t="str">
        <f>_xll.BDP($C509,"MATURITY")</f>
        <v>1/10/2030</v>
      </c>
      <c r="H509" t="str">
        <f>_xll.BDP($C509,"RTG_SP")</f>
        <v>A+</v>
      </c>
    </row>
    <row r="510" spans="1:8" x14ac:dyDescent="0.25">
      <c r="A510" s="1" t="s">
        <v>145</v>
      </c>
      <c r="B510" s="1" t="s">
        <v>2216</v>
      </c>
      <c r="C510" s="1" t="s">
        <v>2217</v>
      </c>
      <c r="D510" s="1" t="s">
        <v>2218</v>
      </c>
      <c r="E510">
        <f>_xll.BDP($C510,"DUR_ADJ_MID")</f>
        <v>2.3093676240263989</v>
      </c>
      <c r="F510">
        <f>_xll.BDP($C510,"OAS_SPREAD_DUR_MID")</f>
        <v>2.3136375499400614</v>
      </c>
      <c r="G510" t="str">
        <f>_xll.BDP($C510,"MATURITY")</f>
        <v>1/5/2029</v>
      </c>
      <c r="H510" t="str">
        <f>_xll.BDP($C510,"RTG_SP")</f>
        <v>A+</v>
      </c>
    </row>
    <row r="511" spans="1:8" x14ac:dyDescent="0.25">
      <c r="A511" s="1" t="s">
        <v>145</v>
      </c>
      <c r="B511" s="1" t="s">
        <v>2219</v>
      </c>
      <c r="C511" s="1" t="s">
        <v>2220</v>
      </c>
      <c r="D511" s="1" t="s">
        <v>2221</v>
      </c>
      <c r="E511">
        <f>_xll.BDP($C511,"DUR_ADJ_MID")</f>
        <v>1.7836547280889388</v>
      </c>
      <c r="F511">
        <f>_xll.BDP($C511,"OAS_SPREAD_DUR_MID")</f>
        <v>1.6873950863710803</v>
      </c>
      <c r="G511" t="str">
        <f>_xll.BDP($C511,"MATURITY")</f>
        <v>5/15/2028</v>
      </c>
      <c r="H511" t="str">
        <f>_xll.BDP($C511,"RTG_SP")</f>
        <v>BBB+</v>
      </c>
    </row>
    <row r="512" spans="1:8" x14ac:dyDescent="0.25">
      <c r="A512" s="1" t="s">
        <v>145</v>
      </c>
      <c r="B512" s="1" t="s">
        <v>2222</v>
      </c>
      <c r="C512" s="1" t="s">
        <v>2223</v>
      </c>
      <c r="D512" s="1" t="s">
        <v>2224</v>
      </c>
      <c r="E512">
        <f>_xll.BDP($C512,"DUR_ADJ_MID")</f>
        <v>2.1326894670206595</v>
      </c>
      <c r="F512" t="str">
        <f>_xll.BDP($C512,"OAS_SPREAD_DUR_MID")</f>
        <v>#N/A Field Not Applicable</v>
      </c>
      <c r="G512" t="str">
        <f>_xll.BDP($C512,"MATURITY")</f>
        <v>10/30/2029</v>
      </c>
      <c r="H512" t="str">
        <f>_xll.BDP($C512,"RTG_SP")</f>
        <v>A-</v>
      </c>
    </row>
    <row r="513" spans="1:8" x14ac:dyDescent="0.25">
      <c r="A513" s="1" t="s">
        <v>145</v>
      </c>
      <c r="B513" s="1" t="s">
        <v>2225</v>
      </c>
      <c r="C513" s="1" t="s">
        <v>2226</v>
      </c>
      <c r="D513" s="1" t="s">
        <v>2227</v>
      </c>
      <c r="E513">
        <f>_xll.BDP($C513,"DUR_ADJ_MID")</f>
        <v>3.4897461100326939</v>
      </c>
      <c r="F513" t="str">
        <f>_xll.BDP($C513,"OAS_SPREAD_DUR_MID")</f>
        <v>#N/A Field Not Applicable</v>
      </c>
      <c r="G513" t="str">
        <f>_xll.BDP($C513,"MATURITY")</f>
        <v>5/20/2031</v>
      </c>
      <c r="H513" t="str">
        <f>_xll.BDP($C513,"RTG_SP")</f>
        <v>A-</v>
      </c>
    </row>
    <row r="514" spans="1:8" x14ac:dyDescent="0.25">
      <c r="A514" s="1" t="s">
        <v>145</v>
      </c>
      <c r="B514" s="1" t="s">
        <v>2228</v>
      </c>
      <c r="C514" s="1" t="s">
        <v>2229</v>
      </c>
      <c r="D514" s="1" t="s">
        <v>2230</v>
      </c>
      <c r="E514">
        <f>_xll.BDP($C514,"DUR_ADJ_MID")</f>
        <v>1.6523621613207575</v>
      </c>
      <c r="F514">
        <f>_xll.BDP($C514,"OAS_SPREAD_DUR_MID")</f>
        <v>1.594166038735533</v>
      </c>
      <c r="G514" t="str">
        <f>_xll.BDP($C514,"MATURITY")</f>
        <v>3/22/2028</v>
      </c>
      <c r="H514" t="str">
        <f>_xll.BDP($C514,"RTG_SP")</f>
        <v>A+</v>
      </c>
    </row>
    <row r="515" spans="1:8" x14ac:dyDescent="0.25">
      <c r="A515" s="1" t="s">
        <v>145</v>
      </c>
      <c r="B515" s="1" t="s">
        <v>2231</v>
      </c>
      <c r="C515" s="1" t="s">
        <v>2232</v>
      </c>
      <c r="D515" s="1" t="s">
        <v>2233</v>
      </c>
      <c r="E515">
        <f>_xll.BDP($C515,"DUR_ADJ_MID")</f>
        <v>1.496000271424162</v>
      </c>
      <c r="F515" t="str">
        <f>_xll.BDP($C515,"OAS_SPREAD_DUR_MID")</f>
        <v>#N/A Field Not Applicable</v>
      </c>
      <c r="G515" t="str">
        <f>_xll.BDP($C515,"MATURITY")</f>
        <v>2/1/2029</v>
      </c>
      <c r="H515" t="str">
        <f>_xll.BDP($C515,"RTG_SP")</f>
        <v>A</v>
      </c>
    </row>
    <row r="516" spans="1:8" x14ac:dyDescent="0.25">
      <c r="A516" s="1" t="s">
        <v>145</v>
      </c>
      <c r="B516" s="1" t="s">
        <v>2234</v>
      </c>
      <c r="C516" s="1" t="s">
        <v>2235</v>
      </c>
      <c r="D516" s="1" t="s">
        <v>2236</v>
      </c>
      <c r="E516">
        <f>_xll.BDP($C516,"DUR_ADJ_MID")</f>
        <v>3.4765351315272555</v>
      </c>
      <c r="F516" t="str">
        <f>_xll.BDP($C516,"OAS_SPREAD_DUR_MID")</f>
        <v>#N/A Field Not Applicable</v>
      </c>
      <c r="G516" t="str">
        <f>_xll.BDP($C516,"MATURITY")</f>
        <v>5/15/2031</v>
      </c>
      <c r="H516" t="str">
        <f>_xll.BDP($C516,"RTG_SP")</f>
        <v>A</v>
      </c>
    </row>
    <row r="517" spans="1:8" x14ac:dyDescent="0.25">
      <c r="A517" s="1" t="s">
        <v>145</v>
      </c>
      <c r="B517" s="1" t="s">
        <v>2237</v>
      </c>
      <c r="C517" s="1" t="s">
        <v>2238</v>
      </c>
      <c r="D517" s="1" t="s">
        <v>2239</v>
      </c>
      <c r="E517">
        <f>_xll.BDP($C517,"DUR_ADJ_MID")</f>
        <v>2.2394814087882553</v>
      </c>
      <c r="F517">
        <f>_xll.BDP($C517,"OAS_SPREAD_DUR_MID")</f>
        <v>2.1388382975154521</v>
      </c>
      <c r="G517" t="str">
        <f>_xll.BDP($C517,"MATURITY")</f>
        <v>11/16/2028</v>
      </c>
      <c r="H517" t="str">
        <f>_xll.BDP($C517,"RTG_SP")</f>
        <v>BBB+</v>
      </c>
    </row>
    <row r="518" spans="1:8" x14ac:dyDescent="0.25">
      <c r="A518" s="1" t="s">
        <v>145</v>
      </c>
      <c r="B518" s="1" t="s">
        <v>2240</v>
      </c>
      <c r="C518" s="1" t="s">
        <v>2241</v>
      </c>
      <c r="D518" s="1" t="s">
        <v>2242</v>
      </c>
      <c r="E518">
        <f>_xll.BDP($C518,"DUR_ADJ_MID")</f>
        <v>3.0889043988035896</v>
      </c>
      <c r="F518">
        <f>_xll.BDP($C518,"OAS_SPREAD_DUR_MID")</f>
        <v>3.1339131486086869</v>
      </c>
      <c r="G518" t="str">
        <f>_xll.BDP($C518,"MATURITY")</f>
        <v>2/15/2030</v>
      </c>
      <c r="H518" t="str">
        <f>_xll.BDP($C518,"RTG_SP")</f>
        <v>A+</v>
      </c>
    </row>
    <row r="519" spans="1:8" x14ac:dyDescent="0.25">
      <c r="A519" s="1" t="s">
        <v>145</v>
      </c>
      <c r="B519" s="1" t="s">
        <v>2243</v>
      </c>
      <c r="C519" s="1" t="s">
        <v>2244</v>
      </c>
      <c r="D519" s="1" t="s">
        <v>2245</v>
      </c>
      <c r="E519">
        <f>_xll.BDP($C519,"DUR_ADJ_MID")</f>
        <v>1.5856488377714935</v>
      </c>
      <c r="F519">
        <f>_xll.BDP($C519,"OAS_SPREAD_DUR_MID")</f>
        <v>1.5207519220064571</v>
      </c>
      <c r="G519" t="str">
        <f>_xll.BDP($C519,"MATURITY")</f>
        <v>3/1/2028</v>
      </c>
      <c r="H519" t="str">
        <f>_xll.BDP($C519,"RTG_SP")</f>
        <v>BBB+</v>
      </c>
    </row>
    <row r="520" spans="1:8" x14ac:dyDescent="0.25">
      <c r="A520" s="1" t="s">
        <v>145</v>
      </c>
      <c r="B520" s="1" t="s">
        <v>2246</v>
      </c>
      <c r="C520" s="1" t="s">
        <v>2247</v>
      </c>
      <c r="D520" s="1" t="s">
        <v>2248</v>
      </c>
      <c r="E520">
        <f>_xll.BDP($C520,"DUR_ADJ_MID")</f>
        <v>4.3428186560677569</v>
      </c>
      <c r="F520">
        <f>_xll.BDP($C520,"OAS_SPREAD_DUR_MID")</f>
        <v>4.322017371278676</v>
      </c>
      <c r="G520" t="str">
        <f>_xll.BDP($C520,"MATURITY")</f>
        <v>3/21/2031</v>
      </c>
      <c r="H520" t="str">
        <f>_xll.BDP($C520,"RTG_SP")</f>
        <v>BBB+</v>
      </c>
    </row>
    <row r="521" spans="1:8" x14ac:dyDescent="0.25">
      <c r="A521" s="1" t="s">
        <v>145</v>
      </c>
      <c r="B521" s="1" t="s">
        <v>2249</v>
      </c>
      <c r="C521" s="1" t="s">
        <v>2250</v>
      </c>
      <c r="D521" s="1" t="s">
        <v>2251</v>
      </c>
      <c r="E521">
        <f>_xll.BDP($C521,"DUR_ADJ_MID")</f>
        <v>3.578146874547993</v>
      </c>
      <c r="F521">
        <f>_xll.BDP($C521,"OAS_SPREAD_DUR_MID")</f>
        <v>3.5683355502510734</v>
      </c>
      <c r="G521" t="str">
        <f>_xll.BDP($C521,"MATURITY")</f>
        <v>4/15/2030</v>
      </c>
      <c r="H521" t="str">
        <f>_xll.BDP($C521,"RTG_SP")</f>
        <v>AA-</v>
      </c>
    </row>
    <row r="522" spans="1:8" x14ac:dyDescent="0.25">
      <c r="A522" s="1" t="s">
        <v>145</v>
      </c>
      <c r="B522" s="1" t="s">
        <v>2252</v>
      </c>
      <c r="C522" s="1" t="s">
        <v>2253</v>
      </c>
      <c r="D522" s="1" t="s">
        <v>2254</v>
      </c>
      <c r="E522">
        <f>_xll.BDP($C522,"DUR_ADJ_MID")</f>
        <v>4.2146862526102513</v>
      </c>
      <c r="F522">
        <f>_xll.BDP($C522,"OAS_SPREAD_DUR_MID")</f>
        <v>4.1796347520669341</v>
      </c>
      <c r="G522" t="str">
        <f>_xll.BDP($C522,"MATURITY")</f>
        <v>4/30/2031</v>
      </c>
      <c r="H522" t="str">
        <f>_xll.BDP($C522,"RTG_SP")</f>
        <v>BBB-</v>
      </c>
    </row>
    <row r="523" spans="1:8" x14ac:dyDescent="0.25">
      <c r="A523" s="1" t="s">
        <v>145</v>
      </c>
      <c r="B523" s="1" t="s">
        <v>2255</v>
      </c>
      <c r="C523" s="1" t="s">
        <v>2256</v>
      </c>
      <c r="D523" s="1" t="s">
        <v>2257</v>
      </c>
      <c r="E523">
        <f>_xll.BDP($C523,"DUR_ADJ_MID")</f>
        <v>1.5435482670291938</v>
      </c>
      <c r="F523">
        <f>_xll.BDP($C523,"OAS_SPREAD_DUR_MID")</f>
        <v>1.5750065369541051</v>
      </c>
      <c r="G523" t="str">
        <f>_xll.BDP($C523,"MATURITY")</f>
        <v>3/15/2028</v>
      </c>
      <c r="H523" t="str">
        <f>_xll.BDP($C523,"RTG_SP")</f>
        <v>A-</v>
      </c>
    </row>
    <row r="524" spans="1:8" x14ac:dyDescent="0.25">
      <c r="A524" s="1" t="s">
        <v>145</v>
      </c>
      <c r="B524" s="1" t="s">
        <v>2258</v>
      </c>
      <c r="C524" s="1" t="s">
        <v>2259</v>
      </c>
      <c r="D524" s="1" t="s">
        <v>2260</v>
      </c>
      <c r="E524">
        <f>_xll.BDP($C524,"DUR_ADJ_MID")</f>
        <v>3.4119631142327775</v>
      </c>
      <c r="F524" t="str">
        <f>_xll.BDP($C524,"OAS_SPREAD_DUR_MID")</f>
        <v>#N/A Field Not Applicable</v>
      </c>
      <c r="G524" t="str">
        <f>_xll.BDP($C524,"MATURITY")</f>
        <v>4/23/2031</v>
      </c>
      <c r="H524" t="str">
        <f>_xll.BDP($C524,"RTG_SP")</f>
        <v>BBB+</v>
      </c>
    </row>
    <row r="525" spans="1:8" x14ac:dyDescent="0.25">
      <c r="A525" s="1" t="s">
        <v>145</v>
      </c>
      <c r="B525" s="1" t="s">
        <v>2261</v>
      </c>
      <c r="C525" s="1" t="s">
        <v>2262</v>
      </c>
      <c r="D525" s="1" t="s">
        <v>2263</v>
      </c>
      <c r="E525">
        <f>_xll.BDP($C525,"DUR_ADJ_MID")</f>
        <v>2.7998931590875089</v>
      </c>
      <c r="F525" t="str">
        <f>_xll.BDP($C525,"OAS_SPREAD_DUR_MID")</f>
        <v>#N/A Field Not Applicable</v>
      </c>
      <c r="G525" t="str">
        <f>_xll.BDP($C525,"MATURITY")</f>
        <v>7/24/2034</v>
      </c>
      <c r="H525" t="str">
        <f>_xll.BDP($C525,"RTG_SP")</f>
        <v>A-</v>
      </c>
    </row>
    <row r="526" spans="1:8" x14ac:dyDescent="0.25">
      <c r="A526" s="1" t="s">
        <v>145</v>
      </c>
      <c r="B526" s="1" t="s">
        <v>2264</v>
      </c>
      <c r="C526" s="1" t="s">
        <v>2265</v>
      </c>
      <c r="D526" s="1" t="s">
        <v>2266</v>
      </c>
      <c r="E526">
        <f>_xll.BDP($C526,"DUR_ADJ_MID")</f>
        <v>2.3005973380285596</v>
      </c>
      <c r="F526">
        <f>_xll.BDP($C526,"OAS_SPREAD_DUR_MID")</f>
        <v>2.3042535664557491</v>
      </c>
      <c r="G526" t="str">
        <f>_xll.BDP($C526,"MATURITY")</f>
        <v>11/20/2028</v>
      </c>
      <c r="H526" t="str">
        <f>_xll.BDP($C526,"RTG_SP")</f>
        <v>AA-</v>
      </c>
    </row>
    <row r="527" spans="1:8" x14ac:dyDescent="0.25">
      <c r="A527" s="1" t="s">
        <v>145</v>
      </c>
      <c r="B527" s="1" t="s">
        <v>2267</v>
      </c>
      <c r="C527" s="1" t="s">
        <v>2268</v>
      </c>
      <c r="D527" s="1" t="s">
        <v>2269</v>
      </c>
      <c r="E527">
        <f>_xll.BDP($C527,"DUR_ADJ_MID")</f>
        <v>3.3998423375305733</v>
      </c>
      <c r="F527">
        <f>_xll.BDP($C527,"OAS_SPREAD_DUR_MID")</f>
        <v>3.4209611249587795</v>
      </c>
      <c r="G527" t="str">
        <f>_xll.BDP($C527,"MATURITY")</f>
        <v>5/19/2030</v>
      </c>
      <c r="H527" t="str">
        <f>_xll.BDP($C527,"RTG_SP")</f>
        <v>BBB+</v>
      </c>
    </row>
    <row r="528" spans="1:8" x14ac:dyDescent="0.25">
      <c r="A528" s="1" t="s">
        <v>151</v>
      </c>
      <c r="B528" s="1" t="s">
        <v>2270</v>
      </c>
      <c r="C528" s="1" t="s">
        <v>2271</v>
      </c>
      <c r="D528" s="1" t="s">
        <v>2272</v>
      </c>
      <c r="E528">
        <f>_xll.BDP($C528,"DUR_ADJ_MID")</f>
        <v>0.90921083558627336</v>
      </c>
      <c r="F528">
        <f>_xll.BDP($C528,"OAS_SPREAD_DUR_MID")</f>
        <v>0.90838694068574666</v>
      </c>
      <c r="G528" t="str">
        <f>_xll.BDP($C528,"MATURITY")</f>
        <v>5/31/2027</v>
      </c>
      <c r="H528" t="str">
        <f>_xll.BDP($C528,"RTG_SP")</f>
        <v>#N/A N/A</v>
      </c>
    </row>
    <row r="529" spans="1:8" x14ac:dyDescent="0.25">
      <c r="A529" s="1" t="s">
        <v>164</v>
      </c>
      <c r="B529" s="1" t="s">
        <v>2273</v>
      </c>
      <c r="C529" s="1" t="s">
        <v>2274</v>
      </c>
      <c r="D529" s="1" t="s">
        <v>2275</v>
      </c>
      <c r="E529">
        <f>_xll.BDP($C529,"DUR_ADJ_MID")</f>
        <v>0.82713580906071538</v>
      </c>
      <c r="F529">
        <f>_xll.BDP($C529,"OAS_SPREAD_DUR_MID")</f>
        <v>0.8252968777068489</v>
      </c>
      <c r="G529" t="str">
        <f>_xll.BDP($C529,"MATURITY")</f>
        <v>4/30/2027</v>
      </c>
      <c r="H529" t="str">
        <f>_xll.BDP($C529,"RTG_SP")</f>
        <v>#N/A N/A</v>
      </c>
    </row>
    <row r="530" spans="1:8" x14ac:dyDescent="0.25">
      <c r="A530" s="1" t="s">
        <v>187</v>
      </c>
      <c r="B530" s="1" t="s">
        <v>2270</v>
      </c>
      <c r="C530" s="1" t="s">
        <v>2271</v>
      </c>
      <c r="D530" s="1" t="s">
        <v>2276</v>
      </c>
      <c r="E530">
        <f>_xll.BDP($C530,"DUR_ADJ_MID")</f>
        <v>0.90921083558627336</v>
      </c>
      <c r="F530">
        <f>_xll.BDP($C530,"OAS_SPREAD_DUR_MID")</f>
        <v>0.90838694068574666</v>
      </c>
      <c r="G530" t="str">
        <f>_xll.BDP($C530,"MATURITY")</f>
        <v>5/31/2027</v>
      </c>
      <c r="H530" t="str">
        <f>_xll.BDP($C530,"RTG_SP")</f>
        <v>#N/A N/A</v>
      </c>
    </row>
    <row r="531" spans="1:8" x14ac:dyDescent="0.25">
      <c r="A531" s="1" t="s">
        <v>192</v>
      </c>
      <c r="B531" s="1" t="s">
        <v>2277</v>
      </c>
      <c r="C531" s="1" t="s">
        <v>2278</v>
      </c>
      <c r="D531" s="1" t="s">
        <v>2279</v>
      </c>
      <c r="E531">
        <f>_xll.BDP($C531,"DUR_ADJ_MID")</f>
        <v>0.81939285756514324</v>
      </c>
      <c r="F531">
        <f>_xll.BDP($C531,"OAS_SPREAD_DUR_MID")</f>
        <v>0.81762406785553932</v>
      </c>
      <c r="G531" t="str">
        <f>_xll.BDP($C531,"MATURITY")</f>
        <v>4/30/2027</v>
      </c>
      <c r="H531" t="str">
        <f>_xll.BDP($C531,"RTG_SP")</f>
        <v>#N/A N/A</v>
      </c>
    </row>
    <row r="532" spans="1:8" x14ac:dyDescent="0.25">
      <c r="A532" s="1" t="s">
        <v>200</v>
      </c>
      <c r="B532" s="1" t="s">
        <v>2280</v>
      </c>
      <c r="C532" s="1" t="s">
        <v>2281</v>
      </c>
      <c r="D532" s="1" t="s">
        <v>2282</v>
      </c>
      <c r="E532">
        <f>_xll.BDP($C532,"DUR_ADJ_MID")</f>
        <v>1.3156972585715645</v>
      </c>
      <c r="F532">
        <f>_xll.BDP($C532,"OAS_SPREAD_DUR_MID")</f>
        <v>1.317801990622127</v>
      </c>
      <c r="G532" t="str">
        <f>_xll.BDP($C532,"MATURITY")</f>
        <v>11/15/2027</v>
      </c>
      <c r="H532" t="str">
        <f>_xll.BDP($C532,"RTG_SP")</f>
        <v>#N/A N/A</v>
      </c>
    </row>
    <row r="533" spans="1:8" x14ac:dyDescent="0.25">
      <c r="A533" s="1" t="s">
        <v>200</v>
      </c>
      <c r="B533" s="1" t="s">
        <v>2283</v>
      </c>
      <c r="C533" s="1" t="s">
        <v>2284</v>
      </c>
      <c r="D533" s="1" t="s">
        <v>2285</v>
      </c>
      <c r="E533">
        <f>_xll.BDP($C533,"DUR_ADJ_MID")</f>
        <v>2.2174918823521721</v>
      </c>
      <c r="F533">
        <f>_xll.BDP($C533,"OAS_SPREAD_DUR_MID")</f>
        <v>2.2213246328624492</v>
      </c>
      <c r="G533" t="str">
        <f>_xll.BDP($C533,"MATURITY")</f>
        <v>11/15/2028</v>
      </c>
      <c r="H533" t="str">
        <f>_xll.BDP($C533,"RTG_SP")</f>
        <v>#N/A N/A</v>
      </c>
    </row>
    <row r="534" spans="1:8" x14ac:dyDescent="0.25">
      <c r="A534" s="1" t="s">
        <v>200</v>
      </c>
      <c r="B534" s="1" t="s">
        <v>2286</v>
      </c>
      <c r="C534" s="1" t="s">
        <v>2287</v>
      </c>
      <c r="D534" s="1" t="s">
        <v>2288</v>
      </c>
      <c r="E534">
        <f>_xll.BDP($C534,"DUR_ADJ_MID")</f>
        <v>1.0986932214422067</v>
      </c>
      <c r="F534">
        <f>_xll.BDP($C534,"OAS_SPREAD_DUR_MID")</f>
        <v>1.0968302523262692</v>
      </c>
      <c r="G534" t="str">
        <f>_xll.BDP($C534,"MATURITY")</f>
        <v>8/15/2027</v>
      </c>
      <c r="H534" t="str">
        <f>_xll.BDP($C534,"RTG_SP")</f>
        <v>#N/A N/A</v>
      </c>
    </row>
    <row r="535" spans="1:8" x14ac:dyDescent="0.25">
      <c r="A535" s="1" t="s">
        <v>200</v>
      </c>
      <c r="B535" s="1" t="s">
        <v>2289</v>
      </c>
      <c r="C535" s="1" t="s">
        <v>2290</v>
      </c>
      <c r="D535" s="1" t="s">
        <v>2291</v>
      </c>
      <c r="E535">
        <f>_xll.BDP($C535,"DUR_ADJ_MID")</f>
        <v>1.341330009988043</v>
      </c>
      <c r="F535">
        <f>_xll.BDP($C535,"OAS_SPREAD_DUR_MID")</f>
        <v>1.3435056633481555</v>
      </c>
      <c r="G535" t="str">
        <f>_xll.BDP($C535,"MATURITY")</f>
        <v>11/15/2027</v>
      </c>
      <c r="H535" t="str">
        <f>_xll.BDP($C535,"RTG_SP")</f>
        <v>#N/A N/A</v>
      </c>
    </row>
    <row r="536" spans="1:8" x14ac:dyDescent="0.25">
      <c r="A536" s="1" t="s">
        <v>200</v>
      </c>
      <c r="B536" s="1" t="s">
        <v>2292</v>
      </c>
      <c r="C536" s="1" t="s">
        <v>2293</v>
      </c>
      <c r="D536" s="1" t="s">
        <v>2294</v>
      </c>
      <c r="E536">
        <f>_xll.BDP($C536,"DUR_ADJ_MID")</f>
        <v>1.5648146110222483</v>
      </c>
      <c r="F536">
        <f>_xll.BDP($C536,"OAS_SPREAD_DUR_MID")</f>
        <v>1.5665537621765528</v>
      </c>
      <c r="G536" t="str">
        <f>_xll.BDP($C536,"MATURITY")</f>
        <v>2/15/2028</v>
      </c>
      <c r="H536" t="str">
        <f>_xll.BDP($C536,"RTG_SP")</f>
        <v>#N/A N/A</v>
      </c>
    </row>
    <row r="537" spans="1:8" x14ac:dyDescent="0.25">
      <c r="A537" s="1" t="s">
        <v>200</v>
      </c>
      <c r="B537" s="1" t="s">
        <v>2295</v>
      </c>
      <c r="C537" s="1" t="s">
        <v>2296</v>
      </c>
      <c r="D537" s="1" t="s">
        <v>2297</v>
      </c>
      <c r="E537">
        <f>_xll.BDP($C537,"DUR_ADJ_MID")</f>
        <v>1.805891491580266</v>
      </c>
      <c r="F537">
        <f>_xll.BDP($C537,"OAS_SPREAD_DUR_MID")</f>
        <v>1.8063905195312413</v>
      </c>
      <c r="G537" t="str">
        <f>_xll.BDP($C537,"MATURITY")</f>
        <v>5/15/2028</v>
      </c>
      <c r="H537" t="str">
        <f>_xll.BDP($C537,"RTG_SP")</f>
        <v>#N/A N/A</v>
      </c>
    </row>
    <row r="538" spans="1:8" x14ac:dyDescent="0.25">
      <c r="A538" s="1" t="s">
        <v>200</v>
      </c>
      <c r="B538" s="1" t="s">
        <v>2298</v>
      </c>
      <c r="C538" s="1" t="s">
        <v>2299</v>
      </c>
      <c r="D538" s="1" t="s">
        <v>2300</v>
      </c>
      <c r="E538">
        <f>_xll.BDP($C538,"DUR_ADJ_MID")</f>
        <v>2.0251452674031998</v>
      </c>
      <c r="F538">
        <f>_xll.BDP($C538,"OAS_SPREAD_DUR_MID")</f>
        <v>2.0252340567605991</v>
      </c>
      <c r="G538" t="str">
        <f>_xll.BDP($C538,"MATURITY")</f>
        <v>8/15/2028</v>
      </c>
      <c r="H538" t="str">
        <f>_xll.BDP($C538,"RTG_SP")</f>
        <v>#N/A N/A</v>
      </c>
    </row>
    <row r="539" spans="1:8" x14ac:dyDescent="0.25">
      <c r="A539" s="1" t="s">
        <v>200</v>
      </c>
      <c r="B539" s="1" t="s">
        <v>2301</v>
      </c>
      <c r="C539" s="1" t="s">
        <v>2302</v>
      </c>
      <c r="D539" s="1" t="s">
        <v>2303</v>
      </c>
      <c r="E539">
        <f>_xll.BDP($C539,"DUR_ADJ_MID")</f>
        <v>2.2622740544901894</v>
      </c>
      <c r="F539">
        <f>_xll.BDP($C539,"OAS_SPREAD_DUR_MID")</f>
        <v>2.2662713492067907</v>
      </c>
      <c r="G539" t="str">
        <f>_xll.BDP($C539,"MATURITY")</f>
        <v>11/15/2028</v>
      </c>
      <c r="H539" t="str">
        <f>_xll.BDP($C539,"RTG_SP")</f>
        <v>#N/A N/A</v>
      </c>
    </row>
    <row r="540" spans="1:8" x14ac:dyDescent="0.25">
      <c r="A540" s="1" t="s">
        <v>200</v>
      </c>
      <c r="B540" s="1" t="s">
        <v>2304</v>
      </c>
      <c r="C540" s="1" t="s">
        <v>2305</v>
      </c>
      <c r="D540" s="1" t="s">
        <v>2306</v>
      </c>
      <c r="E540">
        <f>_xll.BDP($C540,"DUR_ADJ_MID")</f>
        <v>2.4886214064897092</v>
      </c>
      <c r="F540">
        <f>_xll.BDP($C540,"OAS_SPREAD_DUR_MID")</f>
        <v>2.492204257162284</v>
      </c>
      <c r="G540" t="str">
        <f>_xll.BDP($C540,"MATURITY")</f>
        <v>2/15/2029</v>
      </c>
      <c r="H540" t="str">
        <f>_xll.BDP($C540,"RTG_SP")</f>
        <v>#N/A N/A</v>
      </c>
    </row>
    <row r="541" spans="1:8" x14ac:dyDescent="0.25">
      <c r="A541" s="1" t="s">
        <v>200</v>
      </c>
      <c r="B541" s="1" t="s">
        <v>2307</v>
      </c>
      <c r="C541" s="1" t="s">
        <v>2308</v>
      </c>
      <c r="D541" s="1" t="s">
        <v>2309</v>
      </c>
      <c r="E541">
        <f>_xll.BDP($C541,"DUR_ADJ_MID")</f>
        <v>2.7400131212769088</v>
      </c>
      <c r="F541">
        <f>_xll.BDP($C541,"OAS_SPREAD_DUR_MID")</f>
        <v>2.7398647230439432</v>
      </c>
      <c r="G541" t="str">
        <f>_xll.BDP($C541,"MATURITY")</f>
        <v>5/15/2029</v>
      </c>
      <c r="H541" t="str">
        <f>_xll.BDP($C541,"RTG_SP")</f>
        <v>#N/A N/A</v>
      </c>
    </row>
    <row r="542" spans="1:8" x14ac:dyDescent="0.25">
      <c r="A542" s="1" t="s">
        <v>200</v>
      </c>
      <c r="B542" s="1" t="s">
        <v>2270</v>
      </c>
      <c r="C542" s="1" t="s">
        <v>2271</v>
      </c>
      <c r="D542" s="1" t="s">
        <v>2310</v>
      </c>
      <c r="E542">
        <f>_xll.BDP($C542,"DUR_ADJ_MID")</f>
        <v>0.90921083558627336</v>
      </c>
      <c r="F542">
        <f>_xll.BDP($C542,"OAS_SPREAD_DUR_MID")</f>
        <v>0.90838694068574666</v>
      </c>
      <c r="G542" t="str">
        <f>_xll.BDP($C542,"MATURITY")</f>
        <v>5/31/2027</v>
      </c>
      <c r="H542" t="str">
        <f>_xll.BDP($C542,"RTG_SP")</f>
        <v>#N/A N/A</v>
      </c>
    </row>
    <row r="543" spans="1:8" x14ac:dyDescent="0.25">
      <c r="A543" s="1" t="s">
        <v>200</v>
      </c>
      <c r="B543" s="1" t="s">
        <v>2311</v>
      </c>
      <c r="C543" s="1" t="s">
        <v>2312</v>
      </c>
      <c r="D543" s="1" t="s">
        <v>2313</v>
      </c>
      <c r="E543">
        <f>_xll.BDP($C543,"DUR_ADJ_MID")</f>
        <v>0.9871107197029344</v>
      </c>
      <c r="F543">
        <f>_xll.BDP($C543,"OAS_SPREAD_DUR_MID")</f>
        <v>0.98634082187981431</v>
      </c>
      <c r="G543" t="str">
        <f>_xll.BDP($C543,"MATURITY")</f>
        <v>6/30/2027</v>
      </c>
      <c r="H543" t="str">
        <f>_xll.BDP($C543,"RTG_SP")</f>
        <v>#N/A N/A</v>
      </c>
    </row>
    <row r="544" spans="1:8" x14ac:dyDescent="0.25">
      <c r="A544" s="1" t="s">
        <v>200</v>
      </c>
      <c r="B544" s="1" t="s">
        <v>2314</v>
      </c>
      <c r="C544" s="1" t="s">
        <v>2315</v>
      </c>
      <c r="D544" s="1" t="s">
        <v>2316</v>
      </c>
      <c r="E544">
        <f>_xll.BDP($C544,"DUR_ADJ_MID")</f>
        <v>1.0717920135116921</v>
      </c>
      <c r="F544">
        <f>_xll.BDP($C544,"OAS_SPREAD_DUR_MID")</f>
        <v>1.0702582288731388</v>
      </c>
      <c r="G544" t="str">
        <f>_xll.BDP($C544,"MATURITY")</f>
        <v>7/31/2027</v>
      </c>
      <c r="H544" t="str">
        <f>_xll.BDP($C544,"RTG_SP")</f>
        <v>#N/A N/A</v>
      </c>
    </row>
    <row r="545" spans="1:8" x14ac:dyDescent="0.25">
      <c r="A545" s="1" t="s">
        <v>200</v>
      </c>
      <c r="B545" s="1" t="s">
        <v>2317</v>
      </c>
      <c r="C545" s="1" t="s">
        <v>2318</v>
      </c>
      <c r="D545" s="1" t="s">
        <v>2319</v>
      </c>
      <c r="E545">
        <f>_xll.BDP($C545,"DUR_ADJ_MID")</f>
        <v>1.1518585155809686</v>
      </c>
      <c r="F545">
        <f>_xll.BDP($C545,"OAS_SPREAD_DUR_MID")</f>
        <v>1.1525162182351913</v>
      </c>
      <c r="G545" t="str">
        <f>_xll.BDP($C545,"MATURITY")</f>
        <v>8/31/2027</v>
      </c>
      <c r="H545" t="str">
        <f>_xll.BDP($C545,"RTG_SP")</f>
        <v>#N/A N/A</v>
      </c>
    </row>
    <row r="546" spans="1:8" x14ac:dyDescent="0.25">
      <c r="A546" s="1" t="s">
        <v>200</v>
      </c>
      <c r="B546" s="1" t="s">
        <v>2320</v>
      </c>
      <c r="C546" s="1" t="s">
        <v>2321</v>
      </c>
      <c r="D546" s="1" t="s">
        <v>2322</v>
      </c>
      <c r="E546">
        <f>_xll.BDP($C546,"DUR_ADJ_MID")</f>
        <v>1.2340663335351272</v>
      </c>
      <c r="F546">
        <f>_xll.BDP($C546,"OAS_SPREAD_DUR_MID")</f>
        <v>1.2339187716006192</v>
      </c>
      <c r="G546" t="str">
        <f>_xll.BDP($C546,"MATURITY")</f>
        <v>9/30/2027</v>
      </c>
      <c r="H546" t="str">
        <f>_xll.BDP($C546,"RTG_SP")</f>
        <v>#N/A N/A</v>
      </c>
    </row>
    <row r="547" spans="1:8" x14ac:dyDescent="0.25">
      <c r="A547" s="1" t="s">
        <v>200</v>
      </c>
      <c r="B547" s="1" t="s">
        <v>2323</v>
      </c>
      <c r="C547" s="1" t="s">
        <v>2324</v>
      </c>
      <c r="D547" s="1" t="s">
        <v>2325</v>
      </c>
      <c r="E547">
        <f>_xll.BDP($C547,"DUR_ADJ_MID")</f>
        <v>1.3141313209567493</v>
      </c>
      <c r="F547">
        <f>_xll.BDP($C547,"OAS_SPREAD_DUR_MID")</f>
        <v>1.3160352511965976</v>
      </c>
      <c r="G547" t="str">
        <f>_xll.BDP($C547,"MATURITY")</f>
        <v>10/31/2027</v>
      </c>
      <c r="H547" t="str">
        <f>_xll.BDP($C547,"RTG_SP")</f>
        <v>#N/A N/A</v>
      </c>
    </row>
    <row r="548" spans="1:8" x14ac:dyDescent="0.25">
      <c r="A548" s="1" t="s">
        <v>200</v>
      </c>
      <c r="B548" s="1" t="s">
        <v>2326</v>
      </c>
      <c r="C548" s="1" t="s">
        <v>2327</v>
      </c>
      <c r="D548" s="1" t="s">
        <v>2328</v>
      </c>
      <c r="E548">
        <f>_xll.BDP($C548,"DUR_ADJ_MID")</f>
        <v>1.3954116752368748</v>
      </c>
      <c r="F548">
        <f>_xll.BDP($C548,"OAS_SPREAD_DUR_MID")</f>
        <v>1.3956042121299062</v>
      </c>
      <c r="G548" t="str">
        <f>_xll.BDP($C548,"MATURITY")</f>
        <v>11/30/2027</v>
      </c>
      <c r="H548" t="str">
        <f>_xll.BDP($C548,"RTG_SP")</f>
        <v>#N/A N/A</v>
      </c>
    </row>
    <row r="549" spans="1:8" x14ac:dyDescent="0.25">
      <c r="A549" s="1" t="s">
        <v>200</v>
      </c>
      <c r="B549" s="1" t="s">
        <v>2329</v>
      </c>
      <c r="C549" s="1" t="s">
        <v>2330</v>
      </c>
      <c r="D549" s="1" t="s">
        <v>2331</v>
      </c>
      <c r="E549">
        <f>_xll.BDP($C549,"DUR_ADJ_MID")</f>
        <v>1.4709232535683534</v>
      </c>
      <c r="F549">
        <f>_xll.BDP($C549,"OAS_SPREAD_DUR_MID")</f>
        <v>1.4738815799686964</v>
      </c>
      <c r="G549" t="str">
        <f>_xll.BDP($C549,"MATURITY")</f>
        <v>12/31/2027</v>
      </c>
      <c r="H549" t="str">
        <f>_xll.BDP($C549,"RTG_SP")</f>
        <v>#N/A N/A</v>
      </c>
    </row>
    <row r="550" spans="1:8" x14ac:dyDescent="0.25">
      <c r="A550" s="1" t="s">
        <v>200</v>
      </c>
      <c r="B550" s="1" t="s">
        <v>2332</v>
      </c>
      <c r="C550" s="1" t="s">
        <v>2333</v>
      </c>
      <c r="D550" s="1" t="s">
        <v>2334</v>
      </c>
      <c r="E550">
        <f>_xll.BDP($C550,"DUR_ADJ_MID")</f>
        <v>1.5529636947354557</v>
      </c>
      <c r="F550">
        <f>_xll.BDP($C550,"OAS_SPREAD_DUR_MID")</f>
        <v>1.5551529961374273</v>
      </c>
      <c r="G550" t="str">
        <f>_xll.BDP($C550,"MATURITY")</f>
        <v>1/31/2028</v>
      </c>
      <c r="H550" t="str">
        <f>_xll.BDP($C550,"RTG_SP")</f>
        <v>#N/A N/A</v>
      </c>
    </row>
    <row r="551" spans="1:8" x14ac:dyDescent="0.25">
      <c r="A551" s="1" t="s">
        <v>200</v>
      </c>
      <c r="B551" s="1" t="s">
        <v>2335</v>
      </c>
      <c r="C551" s="1" t="s">
        <v>2336</v>
      </c>
      <c r="D551" s="1" t="s">
        <v>2337</v>
      </c>
      <c r="E551">
        <f>_xll.BDP($C551,"DUR_ADJ_MID")</f>
        <v>1.6284244256798626</v>
      </c>
      <c r="F551">
        <f>_xll.BDP($C551,"OAS_SPREAD_DUR_MID")</f>
        <v>1.6273791075134869</v>
      </c>
      <c r="G551" t="str">
        <f>_xll.BDP($C551,"MATURITY")</f>
        <v>2/29/2028</v>
      </c>
      <c r="H551" t="str">
        <f>_xll.BDP($C551,"RTG_SP")</f>
        <v>#N/A N/A</v>
      </c>
    </row>
    <row r="552" spans="1:8" x14ac:dyDescent="0.25">
      <c r="A552" s="1" t="s">
        <v>200</v>
      </c>
      <c r="B552" s="1" t="s">
        <v>2338</v>
      </c>
      <c r="C552" s="1" t="s">
        <v>2339</v>
      </c>
      <c r="D552" s="1" t="s">
        <v>2340</v>
      </c>
      <c r="E552">
        <f>_xll.BDP($C552,"DUR_ADJ_MID")</f>
        <v>1.7078180857596483</v>
      </c>
      <c r="F552">
        <f>_xll.BDP($C552,"OAS_SPREAD_DUR_MID")</f>
        <v>1.7086606354746161</v>
      </c>
      <c r="G552" t="str">
        <f>_xll.BDP($C552,"MATURITY")</f>
        <v>3/31/2028</v>
      </c>
      <c r="H552" t="str">
        <f>_xll.BDP($C552,"RTG_SP")</f>
        <v>#N/A N/A</v>
      </c>
    </row>
    <row r="553" spans="1:8" x14ac:dyDescent="0.25">
      <c r="A553" s="1" t="s">
        <v>200</v>
      </c>
      <c r="B553" s="1" t="s">
        <v>2341</v>
      </c>
      <c r="C553" s="1" t="s">
        <v>2342</v>
      </c>
      <c r="D553" s="1" t="s">
        <v>2343</v>
      </c>
      <c r="E553">
        <f>_xll.BDP($C553,"DUR_ADJ_MID")</f>
        <v>1.7889989873381464</v>
      </c>
      <c r="F553">
        <f>_xll.BDP($C553,"OAS_SPREAD_DUR_MID")</f>
        <v>1.7891981960433969</v>
      </c>
      <c r="G553" t="str">
        <f>_xll.BDP($C553,"MATURITY")</f>
        <v>4/30/2028</v>
      </c>
      <c r="H553" t="str">
        <f>_xll.BDP($C553,"RTG_SP")</f>
        <v>#N/A N/A</v>
      </c>
    </row>
    <row r="554" spans="1:8" x14ac:dyDescent="0.25">
      <c r="A554" s="1" t="s">
        <v>200</v>
      </c>
      <c r="B554" s="1" t="s">
        <v>2344</v>
      </c>
      <c r="C554" s="1" t="s">
        <v>2345</v>
      </c>
      <c r="D554" s="1" t="s">
        <v>2346</v>
      </c>
      <c r="E554">
        <f>_xll.BDP($C554,"DUR_ADJ_MID")</f>
        <v>1.8710935679686307</v>
      </c>
      <c r="F554">
        <f>_xll.BDP($C554,"OAS_SPREAD_DUR_MID")</f>
        <v>1.8722755579087911</v>
      </c>
      <c r="G554" t="str">
        <f>_xll.BDP($C554,"MATURITY")</f>
        <v>5/31/2028</v>
      </c>
      <c r="H554" t="str">
        <f>_xll.BDP($C554,"RTG_SP")</f>
        <v>#N/A N/A</v>
      </c>
    </row>
    <row r="555" spans="1:8" x14ac:dyDescent="0.25">
      <c r="A555" s="1" t="s">
        <v>200</v>
      </c>
      <c r="B555" s="1" t="s">
        <v>2347</v>
      </c>
      <c r="C555" s="1" t="s">
        <v>2348</v>
      </c>
      <c r="D555" s="1" t="s">
        <v>2349</v>
      </c>
      <c r="E555">
        <f>_xll.BDP($C555,"DUR_ADJ_MID")</f>
        <v>1.9387950118748765</v>
      </c>
      <c r="F555">
        <f>_xll.BDP($C555,"OAS_SPREAD_DUR_MID")</f>
        <v>1.9400502574167988</v>
      </c>
      <c r="G555" t="str">
        <f>_xll.BDP($C555,"MATURITY")</f>
        <v>6/30/2028</v>
      </c>
      <c r="H555" t="str">
        <f>_xll.BDP($C555,"RTG_SP")</f>
        <v>#N/A N/A</v>
      </c>
    </row>
    <row r="556" spans="1:8" x14ac:dyDescent="0.25">
      <c r="A556" s="1" t="s">
        <v>200</v>
      </c>
      <c r="B556" s="1" t="s">
        <v>2350</v>
      </c>
      <c r="C556" s="1" t="s">
        <v>2351</v>
      </c>
      <c r="D556" s="1" t="s">
        <v>2352</v>
      </c>
      <c r="E556">
        <f>_xll.BDP($C556,"DUR_ADJ_MID")</f>
        <v>2.0288953790141897</v>
      </c>
      <c r="F556">
        <f>_xll.BDP($C556,"OAS_SPREAD_DUR_MID")</f>
        <v>2.0293876377271869</v>
      </c>
      <c r="G556" t="str">
        <f>_xll.BDP($C556,"MATURITY")</f>
        <v>7/31/2028</v>
      </c>
      <c r="H556" t="str">
        <f>_xll.BDP($C556,"RTG_SP")</f>
        <v>#N/A N/A</v>
      </c>
    </row>
    <row r="557" spans="1:8" x14ac:dyDescent="0.25">
      <c r="A557" s="1" t="s">
        <v>200</v>
      </c>
      <c r="B557" s="1" t="s">
        <v>2353</v>
      </c>
      <c r="C557" s="1" t="s">
        <v>2354</v>
      </c>
      <c r="D557" s="1" t="s">
        <v>2355</v>
      </c>
      <c r="E557">
        <f>_xll.BDP($C557,"DUR_ADJ_MID")</f>
        <v>2.106721653896193</v>
      </c>
      <c r="F557">
        <f>_xll.BDP($C557,"OAS_SPREAD_DUR_MID")</f>
        <v>2.1093391248724984</v>
      </c>
      <c r="G557" t="str">
        <f>_xll.BDP($C557,"MATURITY")</f>
        <v>8/31/2028</v>
      </c>
      <c r="H557" t="str">
        <f>_xll.BDP($C557,"RTG_SP")</f>
        <v>#N/A N/A</v>
      </c>
    </row>
    <row r="558" spans="1:8" x14ac:dyDescent="0.25">
      <c r="A558" s="1" t="s">
        <v>200</v>
      </c>
      <c r="B558" s="1" t="s">
        <v>2356</v>
      </c>
      <c r="C558" s="1" t="s">
        <v>2357</v>
      </c>
      <c r="D558" s="1" t="s">
        <v>2358</v>
      </c>
      <c r="E558">
        <f>_xll.BDP($C558,"DUR_ADJ_MID")</f>
        <v>2.1849334132742126</v>
      </c>
      <c r="F558">
        <f>_xll.BDP($C558,"OAS_SPREAD_DUR_MID")</f>
        <v>2.1867608250836184</v>
      </c>
      <c r="G558" t="str">
        <f>_xll.BDP($C558,"MATURITY")</f>
        <v>9/30/2028</v>
      </c>
      <c r="H558" t="str">
        <f>_xll.BDP($C558,"RTG_SP")</f>
        <v>#N/A N/A</v>
      </c>
    </row>
    <row r="559" spans="1:8" x14ac:dyDescent="0.25">
      <c r="A559" s="1" t="s">
        <v>200</v>
      </c>
      <c r="B559" s="1" t="s">
        <v>2359</v>
      </c>
      <c r="C559" s="1" t="s">
        <v>2360</v>
      </c>
      <c r="D559" s="1" t="s">
        <v>2361</v>
      </c>
      <c r="E559">
        <f>_xll.BDP($C559,"DUR_ADJ_MID")</f>
        <v>2.2629452441300173</v>
      </c>
      <c r="F559">
        <f>_xll.BDP($C559,"OAS_SPREAD_DUR_MID")</f>
        <v>2.2667857587029125</v>
      </c>
      <c r="G559" t="str">
        <f>_xll.BDP($C559,"MATURITY")</f>
        <v>10/31/2028</v>
      </c>
      <c r="H559" t="str">
        <f>_xll.BDP($C559,"RTG_SP")</f>
        <v>#N/A N/A</v>
      </c>
    </row>
    <row r="560" spans="1:8" x14ac:dyDescent="0.25">
      <c r="A560" s="1" t="s">
        <v>200</v>
      </c>
      <c r="B560" s="1" t="s">
        <v>2362</v>
      </c>
      <c r="C560" s="1" t="s">
        <v>2363</v>
      </c>
      <c r="D560" s="1" t="s">
        <v>2364</v>
      </c>
      <c r="E560">
        <f>_xll.BDP($C560,"DUR_ADJ_MID")</f>
        <v>2.3421552621805617</v>
      </c>
      <c r="F560">
        <f>_xll.BDP($C560,"OAS_SPREAD_DUR_MID")</f>
        <v>2.3443074159782067</v>
      </c>
      <c r="G560" t="str">
        <f>_xll.BDP($C560,"MATURITY")</f>
        <v>11/30/2028</v>
      </c>
      <c r="H560" t="str">
        <f>_xll.BDP($C560,"RTG_SP")</f>
        <v>#N/A N/A</v>
      </c>
    </row>
    <row r="561" spans="1:8" x14ac:dyDescent="0.25">
      <c r="A561" s="1" t="s">
        <v>200</v>
      </c>
      <c r="B561" s="1" t="s">
        <v>2365</v>
      </c>
      <c r="C561" s="1" t="s">
        <v>2366</v>
      </c>
      <c r="D561" s="1" t="s">
        <v>2367</v>
      </c>
      <c r="E561">
        <f>_xll.BDP($C561,"DUR_ADJ_MID")</f>
        <v>2.4079576147195421</v>
      </c>
      <c r="F561">
        <f>_xll.BDP($C561,"OAS_SPREAD_DUR_MID")</f>
        <v>2.4128282827526362</v>
      </c>
      <c r="G561" t="str">
        <f>_xll.BDP($C561,"MATURITY")</f>
        <v>12/31/2028</v>
      </c>
      <c r="H561" t="str">
        <f>_xll.BDP($C561,"RTG_SP")</f>
        <v>#N/A N/A</v>
      </c>
    </row>
    <row r="562" spans="1:8" x14ac:dyDescent="0.25">
      <c r="A562" s="1" t="s">
        <v>200</v>
      </c>
      <c r="B562" s="1" t="s">
        <v>2368</v>
      </c>
      <c r="C562" s="1" t="s">
        <v>2369</v>
      </c>
      <c r="D562" s="1" t="s">
        <v>2370</v>
      </c>
      <c r="E562">
        <f>_xll.BDP($C562,"DUR_ADJ_MID")</f>
        <v>2.4782823251179704</v>
      </c>
      <c r="F562">
        <f>_xll.BDP($C562,"OAS_SPREAD_DUR_MID")</f>
        <v>2.4823387646886199</v>
      </c>
      <c r="G562" t="str">
        <f>_xll.BDP($C562,"MATURITY")</f>
        <v>1/31/2029</v>
      </c>
      <c r="H562" t="str">
        <f>_xll.BDP($C562,"RTG_SP")</f>
        <v>#N/A N/A</v>
      </c>
    </row>
    <row r="563" spans="1:8" x14ac:dyDescent="0.25">
      <c r="A563" s="1" t="s">
        <v>200</v>
      </c>
      <c r="B563" s="1" t="s">
        <v>2371</v>
      </c>
      <c r="C563" s="1" t="s">
        <v>2372</v>
      </c>
      <c r="D563" s="1" t="s">
        <v>2373</v>
      </c>
      <c r="E563">
        <f>_xll.BDP($C563,"DUR_ADJ_MID")</f>
        <v>2.5549657776499544</v>
      </c>
      <c r="F563">
        <f>_xll.BDP($C563,"OAS_SPREAD_DUR_MID")</f>
        <v>2.5532608691185716</v>
      </c>
      <c r="G563" t="str">
        <f>_xll.BDP($C563,"MATURITY")</f>
        <v>2/28/2029</v>
      </c>
      <c r="H563" t="str">
        <f>_xll.BDP($C563,"RTG_SP")</f>
        <v>#N/A N/A</v>
      </c>
    </row>
    <row r="564" spans="1:8" x14ac:dyDescent="0.25">
      <c r="A564" s="1" t="s">
        <v>200</v>
      </c>
      <c r="B564" s="1" t="s">
        <v>2374</v>
      </c>
      <c r="C564" s="1" t="s">
        <v>2375</v>
      </c>
      <c r="D564" s="1" t="s">
        <v>2376</v>
      </c>
      <c r="E564">
        <f>_xll.BDP($C564,"DUR_ADJ_MID")</f>
        <v>2.6188110859089337</v>
      </c>
      <c r="F564">
        <f>_xll.BDP($C564,"OAS_SPREAD_DUR_MID")</f>
        <v>2.6189343894237385</v>
      </c>
      <c r="G564" t="str">
        <f>_xll.BDP($C564,"MATURITY")</f>
        <v>3/31/2029</v>
      </c>
      <c r="H564" t="str">
        <f>_xll.BDP($C564,"RTG_SP")</f>
        <v>#N/A N/A</v>
      </c>
    </row>
    <row r="565" spans="1:8" x14ac:dyDescent="0.25">
      <c r="A565" s="1" t="s">
        <v>200</v>
      </c>
      <c r="B565" s="1" t="s">
        <v>2377</v>
      </c>
      <c r="C565" s="1" t="s">
        <v>2378</v>
      </c>
      <c r="D565" s="1" t="s">
        <v>2379</v>
      </c>
      <c r="E565">
        <f>_xll.BDP($C565,"DUR_ADJ_MID")</f>
        <v>2.6830490600137766</v>
      </c>
      <c r="F565">
        <f>_xll.BDP($C565,"OAS_SPREAD_DUR_MID")</f>
        <v>2.6825991090268158</v>
      </c>
      <c r="G565" t="str">
        <f>_xll.BDP($C565,"MATURITY")</f>
        <v>4/30/2029</v>
      </c>
      <c r="H565" t="str">
        <f>_xll.BDP($C565,"RTG_SP")</f>
        <v>#N/A N/A</v>
      </c>
    </row>
    <row r="566" spans="1:8" x14ac:dyDescent="0.25">
      <c r="A566" s="1" t="s">
        <v>200</v>
      </c>
      <c r="B566" s="1" t="s">
        <v>2380</v>
      </c>
      <c r="C566" s="1" t="s">
        <v>2381</v>
      </c>
      <c r="D566" s="1" t="s">
        <v>2382</v>
      </c>
      <c r="E566">
        <f>_xll.BDP($C566,"DUR_ADJ_MID")</f>
        <v>0.90408656975314117</v>
      </c>
      <c r="F566">
        <f>_xll.BDP($C566,"OAS_SPREAD_DUR_MID")</f>
        <v>0.90327663397920077</v>
      </c>
      <c r="G566" t="str">
        <f>_xll.BDP($C566,"MATURITY")</f>
        <v>5/31/2027</v>
      </c>
      <c r="H566" t="str">
        <f>_xll.BDP($C566,"RTG_SP")</f>
        <v>#N/A N/A</v>
      </c>
    </row>
    <row r="567" spans="1:8" x14ac:dyDescent="0.25">
      <c r="A567" s="1" t="s">
        <v>200</v>
      </c>
      <c r="B567" s="1" t="s">
        <v>2383</v>
      </c>
      <c r="C567" s="1" t="s">
        <v>2384</v>
      </c>
      <c r="D567" s="1" t="s">
        <v>2385</v>
      </c>
      <c r="E567">
        <f>_xll.BDP($C567,"DUR_ADJ_MID")</f>
        <v>0.96741901419285126</v>
      </c>
      <c r="F567">
        <f>_xll.BDP($C567,"OAS_SPREAD_DUR_MID")</f>
        <v>0.96671761462669903</v>
      </c>
      <c r="G567" t="str">
        <f>_xll.BDP($C567,"MATURITY")</f>
        <v>6/30/2027</v>
      </c>
      <c r="H567" t="str">
        <f>_xll.BDP($C567,"RTG_SP")</f>
        <v>#N/A N/A</v>
      </c>
    </row>
    <row r="568" spans="1:8" x14ac:dyDescent="0.25">
      <c r="A568" s="1" t="s">
        <v>200</v>
      </c>
      <c r="B568" s="1" t="s">
        <v>2386</v>
      </c>
      <c r="C568" s="1" t="s">
        <v>2387</v>
      </c>
      <c r="D568" s="1" t="s">
        <v>2388</v>
      </c>
      <c r="E568">
        <f>_xll.BDP($C568,"DUR_ADJ_MID")</f>
        <v>1.0545630009351235</v>
      </c>
      <c r="F568">
        <f>_xll.BDP($C568,"OAS_SPREAD_DUR_MID")</f>
        <v>1.0530839031148191</v>
      </c>
      <c r="G568" t="str">
        <f>_xll.BDP($C568,"MATURITY")</f>
        <v>7/31/2027</v>
      </c>
      <c r="H568" t="str">
        <f>_xll.BDP($C568,"RTG_SP")</f>
        <v>#N/A N/A</v>
      </c>
    </row>
    <row r="569" spans="1:8" x14ac:dyDescent="0.25">
      <c r="A569" s="1" t="s">
        <v>200</v>
      </c>
      <c r="B569" s="1" t="s">
        <v>2389</v>
      </c>
      <c r="C569" s="1" t="s">
        <v>2390</v>
      </c>
      <c r="D569" s="1" t="s">
        <v>2391</v>
      </c>
      <c r="E569">
        <f>_xll.BDP($C569,"DUR_ADJ_MID")</f>
        <v>1.1329928808909684</v>
      </c>
      <c r="F569">
        <f>_xll.BDP($C569,"OAS_SPREAD_DUR_MID")</f>
        <v>1.1336045361255058</v>
      </c>
      <c r="G569" t="str">
        <f>_xll.BDP($C569,"MATURITY")</f>
        <v>8/31/2027</v>
      </c>
      <c r="H569" t="str">
        <f>_xll.BDP($C569,"RTG_SP")</f>
        <v>#N/A N/A</v>
      </c>
    </row>
    <row r="570" spans="1:8" x14ac:dyDescent="0.25">
      <c r="A570" s="1" t="s">
        <v>200</v>
      </c>
      <c r="B570" s="1" t="s">
        <v>2392</v>
      </c>
      <c r="C570" s="1" t="s">
        <v>2393</v>
      </c>
      <c r="D570" s="1" t="s">
        <v>2394</v>
      </c>
      <c r="E570">
        <f>_xll.BDP($C570,"DUR_ADJ_MID")</f>
        <v>1.2073722398084539</v>
      </c>
      <c r="F570">
        <f>_xll.BDP($C570,"OAS_SPREAD_DUR_MID")</f>
        <v>1.207200626934176</v>
      </c>
      <c r="G570" t="str">
        <f>_xll.BDP($C570,"MATURITY")</f>
        <v>9/30/2027</v>
      </c>
      <c r="H570" t="str">
        <f>_xll.BDP($C570,"RTG_SP")</f>
        <v>#N/A N/A</v>
      </c>
    </row>
    <row r="571" spans="1:8" x14ac:dyDescent="0.25">
      <c r="A571" s="1" t="s">
        <v>200</v>
      </c>
      <c r="B571" s="1" t="s">
        <v>2395</v>
      </c>
      <c r="C571" s="1" t="s">
        <v>2396</v>
      </c>
      <c r="D571" s="1" t="s">
        <v>2397</v>
      </c>
      <c r="E571">
        <f>_xll.BDP($C571,"DUR_ADJ_MID")</f>
        <v>1.2883607413277667</v>
      </c>
      <c r="F571">
        <f>_xll.BDP($C571,"OAS_SPREAD_DUR_MID")</f>
        <v>1.290192089315894</v>
      </c>
      <c r="G571" t="str">
        <f>_xll.BDP($C571,"MATURITY")</f>
        <v>10/31/2027</v>
      </c>
      <c r="H571" t="str">
        <f>_xll.BDP($C571,"RTG_SP")</f>
        <v>#N/A N/A</v>
      </c>
    </row>
    <row r="572" spans="1:8" x14ac:dyDescent="0.25">
      <c r="A572" s="1" t="s">
        <v>200</v>
      </c>
      <c r="B572" s="1" t="s">
        <v>2398</v>
      </c>
      <c r="C572" s="1" t="s">
        <v>2399</v>
      </c>
      <c r="D572" s="1" t="s">
        <v>2400</v>
      </c>
      <c r="E572">
        <f>_xll.BDP($C572,"DUR_ADJ_MID")</f>
        <v>1.3722740003552873</v>
      </c>
      <c r="F572">
        <f>_xll.BDP($C572,"OAS_SPREAD_DUR_MID")</f>
        <v>1.3724443362649801</v>
      </c>
      <c r="G572" t="str">
        <f>_xll.BDP($C572,"MATURITY")</f>
        <v>11/30/2027</v>
      </c>
      <c r="H572" t="str">
        <f>_xll.BDP($C572,"RTG_SP")</f>
        <v>#N/A N/A</v>
      </c>
    </row>
    <row r="573" spans="1:8" x14ac:dyDescent="0.25">
      <c r="A573" s="1" t="s">
        <v>200</v>
      </c>
      <c r="B573" s="1" t="s">
        <v>2401</v>
      </c>
      <c r="C573" s="1" t="s">
        <v>2402</v>
      </c>
      <c r="D573" s="1" t="s">
        <v>2403</v>
      </c>
      <c r="E573">
        <f>_xll.BDP($C573,"DUR_ADJ_MID")</f>
        <v>1.4251165064381432</v>
      </c>
      <c r="F573">
        <f>_xll.BDP($C573,"OAS_SPREAD_DUR_MID")</f>
        <v>1.4279610494158987</v>
      </c>
      <c r="G573" t="str">
        <f>_xll.BDP($C573,"MATURITY")</f>
        <v>12/31/2027</v>
      </c>
      <c r="H573" t="str">
        <f>_xll.BDP($C573,"RTG_SP")</f>
        <v>#N/A N/A</v>
      </c>
    </row>
    <row r="574" spans="1:8" x14ac:dyDescent="0.25">
      <c r="A574" s="1" t="s">
        <v>200</v>
      </c>
      <c r="B574" s="1" t="s">
        <v>2404</v>
      </c>
      <c r="C574" s="1" t="s">
        <v>2405</v>
      </c>
      <c r="D574" s="1" t="s">
        <v>2406</v>
      </c>
      <c r="E574">
        <f>_xll.BDP($C574,"DUR_ADJ_MID")</f>
        <v>1.5139950896794367</v>
      </c>
      <c r="F574">
        <f>_xll.BDP($C574,"OAS_SPREAD_DUR_MID")</f>
        <v>1.5160786816943019</v>
      </c>
      <c r="G574" t="str">
        <f>_xll.BDP($C574,"MATURITY")</f>
        <v>1/31/2028</v>
      </c>
      <c r="H574" t="str">
        <f>_xll.BDP($C574,"RTG_SP")</f>
        <v>#N/A N/A</v>
      </c>
    </row>
    <row r="575" spans="1:8" x14ac:dyDescent="0.25">
      <c r="A575" s="1" t="s">
        <v>200</v>
      </c>
      <c r="B575" s="1" t="s">
        <v>2407</v>
      </c>
      <c r="C575" s="1" t="s">
        <v>2408</v>
      </c>
      <c r="D575" s="1" t="s">
        <v>2409</v>
      </c>
      <c r="E575">
        <f>_xll.BDP($C575,"DUR_ADJ_MID")</f>
        <v>1.5884507412084561</v>
      </c>
      <c r="F575">
        <f>_xll.BDP($C575,"OAS_SPREAD_DUR_MID")</f>
        <v>1.5874028705201895</v>
      </c>
      <c r="G575" t="str">
        <f>_xll.BDP($C575,"MATURITY")</f>
        <v>2/29/2028</v>
      </c>
      <c r="H575" t="str">
        <f>_xll.BDP($C575,"RTG_SP")</f>
        <v>#N/A N/A</v>
      </c>
    </row>
    <row r="576" spans="1:8" x14ac:dyDescent="0.25">
      <c r="A576" s="1" t="s">
        <v>200</v>
      </c>
      <c r="B576" s="1" t="s">
        <v>2410</v>
      </c>
      <c r="C576" s="1" t="s">
        <v>2411</v>
      </c>
      <c r="D576" s="1" t="s">
        <v>2412</v>
      </c>
      <c r="E576">
        <f>_xll.BDP($C576,"DUR_ADJ_MID")</f>
        <v>1.674629189026515</v>
      </c>
      <c r="F576">
        <f>_xll.BDP($C576,"OAS_SPREAD_DUR_MID")</f>
        <v>1.6754028145367501</v>
      </c>
      <c r="G576" t="str">
        <f>_xll.BDP($C576,"MATURITY")</f>
        <v>3/31/2028</v>
      </c>
      <c r="H576" t="str">
        <f>_xll.BDP($C576,"RTG_SP")</f>
        <v>#N/A N/A</v>
      </c>
    </row>
    <row r="577" spans="1:8" x14ac:dyDescent="0.25">
      <c r="A577" s="1" t="s">
        <v>200</v>
      </c>
      <c r="B577" s="1" t="s">
        <v>2413</v>
      </c>
      <c r="C577" s="1" t="s">
        <v>2414</v>
      </c>
      <c r="D577" s="1" t="s">
        <v>2415</v>
      </c>
      <c r="E577">
        <f>_xll.BDP($C577,"DUR_ADJ_MID")</f>
        <v>1.757417628714165</v>
      </c>
      <c r="F577">
        <f>_xll.BDP($C577,"OAS_SPREAD_DUR_MID")</f>
        <v>1.7576092617242729</v>
      </c>
      <c r="G577" t="str">
        <f>_xll.BDP($C577,"MATURITY")</f>
        <v>4/30/2028</v>
      </c>
      <c r="H577" t="str">
        <f>_xll.BDP($C577,"RTG_SP")</f>
        <v>#N/A N/A</v>
      </c>
    </row>
    <row r="578" spans="1:8" x14ac:dyDescent="0.25">
      <c r="A578" s="1" t="s">
        <v>200</v>
      </c>
      <c r="B578" s="1" t="s">
        <v>2416</v>
      </c>
      <c r="C578" s="1" t="s">
        <v>2417</v>
      </c>
      <c r="D578" s="1" t="s">
        <v>2418</v>
      </c>
      <c r="E578">
        <f>_xll.BDP($C578,"DUR_ADJ_MID")</f>
        <v>1.8379375669064451</v>
      </c>
      <c r="F578">
        <f>_xll.BDP($C578,"OAS_SPREAD_DUR_MID")</f>
        <v>1.83904561159</v>
      </c>
      <c r="G578" t="str">
        <f>_xll.BDP($C578,"MATURITY")</f>
        <v>5/31/2028</v>
      </c>
      <c r="H578" t="str">
        <f>_xll.BDP($C578,"RTG_SP")</f>
        <v>#N/A N/A</v>
      </c>
    </row>
    <row r="579" spans="1:8" x14ac:dyDescent="0.25">
      <c r="A579" s="1" t="s">
        <v>200</v>
      </c>
      <c r="B579" s="1" t="s">
        <v>2419</v>
      </c>
      <c r="C579" s="1" t="s">
        <v>2420</v>
      </c>
      <c r="D579" s="1" t="s">
        <v>2421</v>
      </c>
      <c r="E579">
        <f>_xll.BDP($C579,"DUR_ADJ_MID")</f>
        <v>1.8759951015829979</v>
      </c>
      <c r="F579">
        <f>_xll.BDP($C579,"OAS_SPREAD_DUR_MID")</f>
        <v>1.8772181668739996</v>
      </c>
      <c r="G579" t="str">
        <f>_xll.BDP($C579,"MATURITY")</f>
        <v>6/30/2028</v>
      </c>
      <c r="H579" t="str">
        <f>_xll.BDP($C579,"RTG_SP")</f>
        <v>#N/A N/A</v>
      </c>
    </row>
    <row r="580" spans="1:8" x14ac:dyDescent="0.25">
      <c r="A580" s="1" t="s">
        <v>200</v>
      </c>
      <c r="B580" s="1" t="s">
        <v>2422</v>
      </c>
      <c r="C580" s="1" t="s">
        <v>2423</v>
      </c>
      <c r="D580" s="1" t="s">
        <v>2424</v>
      </c>
      <c r="E580">
        <f>_xll.BDP($C580,"DUR_ADJ_MID")</f>
        <v>1.9572069394314509</v>
      </c>
      <c r="F580">
        <f>_xll.BDP($C580,"OAS_SPREAD_DUR_MID")</f>
        <v>1.9576501639845154</v>
      </c>
      <c r="G580" t="str">
        <f>_xll.BDP($C580,"MATURITY")</f>
        <v>7/31/2028</v>
      </c>
      <c r="H580" t="str">
        <f>_xll.BDP($C580,"RTG_SP")</f>
        <v>#N/A N/A</v>
      </c>
    </row>
    <row r="581" spans="1:8" x14ac:dyDescent="0.25">
      <c r="A581" s="1" t="s">
        <v>200</v>
      </c>
      <c r="B581" s="1" t="s">
        <v>2425</v>
      </c>
      <c r="C581" s="1" t="s">
        <v>2426</v>
      </c>
      <c r="D581" s="1" t="s">
        <v>2427</v>
      </c>
      <c r="E581">
        <f>_xll.BDP($C581,"DUR_ADJ_MID")</f>
        <v>2.0329077019698665</v>
      </c>
      <c r="F581">
        <f>_xll.BDP($C581,"OAS_SPREAD_DUR_MID")</f>
        <v>2.0352602586484405</v>
      </c>
      <c r="G581" t="str">
        <f>_xll.BDP($C581,"MATURITY")</f>
        <v>8/31/2028</v>
      </c>
      <c r="H581" t="str">
        <f>_xll.BDP($C581,"RTG_SP")</f>
        <v>#N/A N/A</v>
      </c>
    </row>
    <row r="582" spans="1:8" x14ac:dyDescent="0.25">
      <c r="A582" s="1" t="s">
        <v>200</v>
      </c>
      <c r="B582" s="1" t="s">
        <v>2428</v>
      </c>
      <c r="C582" s="1" t="s">
        <v>2429</v>
      </c>
      <c r="D582" s="1" t="s">
        <v>2430</v>
      </c>
      <c r="E582">
        <f>_xll.BDP($C582,"DUR_ADJ_MID")</f>
        <v>2.1089511820471336</v>
      </c>
      <c r="F582">
        <f>_xll.BDP($C582,"OAS_SPREAD_DUR_MID")</f>
        <v>2.1105846013643248</v>
      </c>
      <c r="G582" t="str">
        <f>_xll.BDP($C582,"MATURITY")</f>
        <v>9/30/2028</v>
      </c>
      <c r="H582" t="str">
        <f>_xll.BDP($C582,"RTG_SP")</f>
        <v>#N/A N/A</v>
      </c>
    </row>
    <row r="583" spans="1:8" x14ac:dyDescent="0.25">
      <c r="A583" s="1" t="s">
        <v>200</v>
      </c>
      <c r="B583" s="1" t="s">
        <v>2431</v>
      </c>
      <c r="C583" s="1" t="s">
        <v>2432</v>
      </c>
      <c r="D583" s="1" t="s">
        <v>2433</v>
      </c>
      <c r="E583">
        <f>_xll.BDP($C583,"DUR_ADJ_MID")</f>
        <v>2.1848200759084957</v>
      </c>
      <c r="F583">
        <f>_xll.BDP($C583,"OAS_SPREAD_DUR_MID")</f>
        <v>2.1883747339978572</v>
      </c>
      <c r="G583" t="str">
        <f>_xll.BDP($C583,"MATURITY")</f>
        <v>10/31/2028</v>
      </c>
      <c r="H583" t="str">
        <f>_xll.BDP($C583,"RTG_SP")</f>
        <v>#N/A N/A</v>
      </c>
    </row>
    <row r="584" spans="1:8" x14ac:dyDescent="0.25">
      <c r="A584" s="1" t="s">
        <v>200</v>
      </c>
      <c r="B584" s="1" t="s">
        <v>2434</v>
      </c>
      <c r="C584" s="1" t="s">
        <v>2435</v>
      </c>
      <c r="D584" s="1" t="s">
        <v>2436</v>
      </c>
      <c r="E584">
        <f>_xll.BDP($C584,"DUR_ADJ_MID")</f>
        <v>2.2774133008567135</v>
      </c>
      <c r="F584">
        <f>_xll.BDP($C584,"OAS_SPREAD_DUR_MID")</f>
        <v>2.2793972522857691</v>
      </c>
      <c r="G584" t="str">
        <f>_xll.BDP($C584,"MATURITY")</f>
        <v>11/30/2028</v>
      </c>
      <c r="H584" t="str">
        <f>_xll.BDP($C584,"RTG_SP")</f>
        <v>#N/A N/A</v>
      </c>
    </row>
    <row r="585" spans="1:8" x14ac:dyDescent="0.25">
      <c r="A585" s="1" t="s">
        <v>200</v>
      </c>
      <c r="B585" s="1" t="s">
        <v>2437</v>
      </c>
      <c r="C585" s="1" t="s">
        <v>2438</v>
      </c>
      <c r="D585" s="1" t="s">
        <v>2439</v>
      </c>
      <c r="E585">
        <f>_xll.BDP($C585,"DUR_ADJ_MID")</f>
        <v>2.3272687741317268</v>
      </c>
      <c r="F585">
        <f>_xll.BDP($C585,"OAS_SPREAD_DUR_MID")</f>
        <v>2.33188568982751</v>
      </c>
      <c r="G585" t="str">
        <f>_xll.BDP($C585,"MATURITY")</f>
        <v>12/31/2028</v>
      </c>
      <c r="H585" t="str">
        <f>_xll.BDP($C585,"RTG_SP")</f>
        <v>#N/A N/A</v>
      </c>
    </row>
    <row r="586" spans="1:8" x14ac:dyDescent="0.25">
      <c r="A586" s="1" t="s">
        <v>200</v>
      </c>
      <c r="B586" s="1" t="s">
        <v>2440</v>
      </c>
      <c r="C586" s="1" t="s">
        <v>2441</v>
      </c>
      <c r="D586" s="1" t="s">
        <v>2442</v>
      </c>
      <c r="E586">
        <f>_xll.BDP($C586,"DUR_ADJ_MID")</f>
        <v>2.4032895695400138</v>
      </c>
      <c r="F586">
        <f>_xll.BDP($C586,"OAS_SPREAD_DUR_MID")</f>
        <v>2.4070994219099027</v>
      </c>
      <c r="G586" t="str">
        <f>_xll.BDP($C586,"MATURITY")</f>
        <v>1/31/2029</v>
      </c>
      <c r="H586" t="str">
        <f>_xll.BDP($C586,"RTG_SP")</f>
        <v>#N/A N/A</v>
      </c>
    </row>
    <row r="587" spans="1:8" x14ac:dyDescent="0.25">
      <c r="A587" s="1" t="s">
        <v>200</v>
      </c>
      <c r="B587" s="1" t="s">
        <v>2443</v>
      </c>
      <c r="C587" s="1" t="s">
        <v>2444</v>
      </c>
      <c r="D587" s="1" t="s">
        <v>2445</v>
      </c>
      <c r="E587">
        <f>_xll.BDP($C587,"DUR_ADJ_MID")</f>
        <v>2.4766901859033883</v>
      </c>
      <c r="F587">
        <f>_xll.BDP($C587,"OAS_SPREAD_DUR_MID")</f>
        <v>2.4750127376314244</v>
      </c>
      <c r="G587" t="str">
        <f>_xll.BDP($C587,"MATURITY")</f>
        <v>2/28/2029</v>
      </c>
      <c r="H587" t="str">
        <f>_xll.BDP($C587,"RTG_SP")</f>
        <v>#N/A N/A</v>
      </c>
    </row>
    <row r="588" spans="1:8" x14ac:dyDescent="0.25">
      <c r="A588" s="1" t="s">
        <v>200</v>
      </c>
      <c r="B588" s="1" t="s">
        <v>2446</v>
      </c>
      <c r="C588" s="1" t="s">
        <v>2447</v>
      </c>
      <c r="D588" s="1" t="s">
        <v>2448</v>
      </c>
      <c r="E588">
        <f>_xll.BDP($C588,"DUR_ADJ_MID")</f>
        <v>2.5617434027035708</v>
      </c>
      <c r="F588">
        <f>_xll.BDP($C588,"OAS_SPREAD_DUR_MID")</f>
        <v>2.5618196538981319</v>
      </c>
      <c r="G588" t="str">
        <f>_xll.BDP($C588,"MATURITY")</f>
        <v>3/31/2029</v>
      </c>
      <c r="H588" t="str">
        <f>_xll.BDP($C588,"RTG_SP")</f>
        <v>#N/A N/A</v>
      </c>
    </row>
    <row r="589" spans="1:8" x14ac:dyDescent="0.25">
      <c r="A589" s="1" t="s">
        <v>200</v>
      </c>
      <c r="B589" s="1" t="s">
        <v>2449</v>
      </c>
      <c r="C589" s="1" t="s">
        <v>2450</v>
      </c>
      <c r="D589" s="1" t="s">
        <v>2451</v>
      </c>
      <c r="E589">
        <f>_xll.BDP($C589,"DUR_ADJ_MID")</f>
        <v>2.6275865523467035</v>
      </c>
      <c r="F589">
        <f>_xll.BDP($C589,"OAS_SPREAD_DUR_MID")</f>
        <v>2.6271543358411251</v>
      </c>
      <c r="G589" t="str">
        <f>_xll.BDP($C589,"MATURITY")</f>
        <v>4/30/2029</v>
      </c>
      <c r="H589" t="str">
        <f>_xll.BDP($C589,"RTG_SP")</f>
        <v>#N/A N/A</v>
      </c>
    </row>
    <row r="590" spans="1:8" x14ac:dyDescent="0.25">
      <c r="A590" s="1" t="s">
        <v>200</v>
      </c>
      <c r="B590" s="1" t="s">
        <v>2452</v>
      </c>
      <c r="C590" s="1" t="s">
        <v>2453</v>
      </c>
      <c r="D590" s="1" t="s">
        <v>2454</v>
      </c>
      <c r="E590">
        <f>_xll.BDP($C590,"DUR_ADJ_MID")</f>
        <v>0.93959348758234895</v>
      </c>
      <c r="F590">
        <f>_xll.BDP($C590,"OAS_SPREAD_DUR_MID")</f>
        <v>0.93888424682333116</v>
      </c>
      <c r="G590" t="str">
        <f>_xll.BDP($C590,"MATURITY")</f>
        <v>6/15/2027</v>
      </c>
      <c r="H590" t="str">
        <f>_xll.BDP($C590,"RTG_SP")</f>
        <v>#N/A N/A</v>
      </c>
    </row>
    <row r="591" spans="1:8" x14ac:dyDescent="0.25">
      <c r="A591" s="1" t="s">
        <v>200</v>
      </c>
      <c r="B591" s="1" t="s">
        <v>2455</v>
      </c>
      <c r="C591" s="1" t="s">
        <v>2456</v>
      </c>
      <c r="D591" s="1" t="s">
        <v>2457</v>
      </c>
      <c r="E591">
        <f>_xll.BDP($C591,"DUR_ADJ_MID")</f>
        <v>1.0003128570986388</v>
      </c>
      <c r="F591">
        <f>_xll.BDP($C591,"OAS_SPREAD_DUR_MID")</f>
        <v>0.99926506748079036</v>
      </c>
      <c r="G591" t="str">
        <f>_xll.BDP($C591,"MATURITY")</f>
        <v>7/15/2027</v>
      </c>
      <c r="H591" t="str">
        <f>_xll.BDP($C591,"RTG_SP")</f>
        <v>#N/A N/A</v>
      </c>
    </row>
    <row r="592" spans="1:8" x14ac:dyDescent="0.25">
      <c r="A592" s="1" t="s">
        <v>200</v>
      </c>
      <c r="B592" s="1" t="s">
        <v>2458</v>
      </c>
      <c r="C592" s="1" t="s">
        <v>2459</v>
      </c>
      <c r="D592" s="1" t="s">
        <v>2460</v>
      </c>
      <c r="E592">
        <f>_xll.BDP($C592,"DUR_ADJ_MID")</f>
        <v>1.08825041368225</v>
      </c>
      <c r="F592">
        <f>_xll.BDP($C592,"OAS_SPREAD_DUR_MID")</f>
        <v>1.0864188610249701</v>
      </c>
      <c r="G592" t="str">
        <f>_xll.BDP($C592,"MATURITY")</f>
        <v>8/15/2027</v>
      </c>
      <c r="H592" t="str">
        <f>_xll.BDP($C592,"RTG_SP")</f>
        <v>#N/A N/A</v>
      </c>
    </row>
    <row r="593" spans="1:8" x14ac:dyDescent="0.25">
      <c r="A593" s="1" t="s">
        <v>200</v>
      </c>
      <c r="B593" s="1" t="s">
        <v>2461</v>
      </c>
      <c r="C593" s="1" t="s">
        <v>2462</v>
      </c>
      <c r="D593" s="1" t="s">
        <v>2463</v>
      </c>
      <c r="E593">
        <f>_xll.BDP($C593,"DUR_ADJ_MID")</f>
        <v>1.1711572966681929</v>
      </c>
      <c r="F593">
        <f>_xll.BDP($C593,"OAS_SPREAD_DUR_MID")</f>
        <v>1.1720642835549147</v>
      </c>
      <c r="G593" t="str">
        <f>_xll.BDP($C593,"MATURITY")</f>
        <v>9/15/2027</v>
      </c>
      <c r="H593" t="str">
        <f>_xll.BDP($C593,"RTG_SP")</f>
        <v>#N/A N/A</v>
      </c>
    </row>
    <row r="594" spans="1:8" x14ac:dyDescent="0.25">
      <c r="A594" s="1" t="s">
        <v>200</v>
      </c>
      <c r="B594" s="1" t="s">
        <v>2464</v>
      </c>
      <c r="C594" s="1" t="s">
        <v>2465</v>
      </c>
      <c r="D594" s="1" t="s">
        <v>2466</v>
      </c>
      <c r="E594">
        <f>_xll.BDP($C594,"DUR_ADJ_MID")</f>
        <v>1.2491911935009574</v>
      </c>
      <c r="F594">
        <f>_xll.BDP($C594,"OAS_SPREAD_DUR_MID")</f>
        <v>1.249106678170405</v>
      </c>
      <c r="G594" t="str">
        <f>_xll.BDP($C594,"MATURITY")</f>
        <v>10/15/2027</v>
      </c>
      <c r="H594" t="str">
        <f>_xll.BDP($C594,"RTG_SP")</f>
        <v>#N/A N/A</v>
      </c>
    </row>
    <row r="595" spans="1:8" x14ac:dyDescent="0.25">
      <c r="A595" s="1" t="s">
        <v>200</v>
      </c>
      <c r="B595" s="1" t="s">
        <v>2467</v>
      </c>
      <c r="C595" s="1" t="s">
        <v>2468</v>
      </c>
      <c r="D595" s="1" t="s">
        <v>2469</v>
      </c>
      <c r="E595">
        <f>_xll.BDP($C595,"DUR_ADJ_MID")</f>
        <v>1.3283431837443906</v>
      </c>
      <c r="F595">
        <f>_xll.BDP($C595,"OAS_SPREAD_DUR_MID")</f>
        <v>1.3304833884456406</v>
      </c>
      <c r="G595" t="str">
        <f>_xll.BDP($C595,"MATURITY")</f>
        <v>11/15/2027</v>
      </c>
      <c r="H595" t="str">
        <f>_xll.BDP($C595,"RTG_SP")</f>
        <v>#N/A N/A</v>
      </c>
    </row>
    <row r="596" spans="1:8" x14ac:dyDescent="0.25">
      <c r="A596" s="1" t="s">
        <v>200</v>
      </c>
      <c r="B596" s="1" t="s">
        <v>2470</v>
      </c>
      <c r="C596" s="1" t="s">
        <v>2471</v>
      </c>
      <c r="D596" s="1" t="s">
        <v>2472</v>
      </c>
      <c r="E596">
        <f>_xll.BDP($C596,"DUR_ADJ_MID")</f>
        <v>1.4115629740928279</v>
      </c>
      <c r="F596">
        <f>_xll.BDP($C596,"OAS_SPREAD_DUR_MID")</f>
        <v>1.4118157354985519</v>
      </c>
      <c r="G596" t="str">
        <f>_xll.BDP($C596,"MATURITY")</f>
        <v>12/15/2027</v>
      </c>
      <c r="H596" t="str">
        <f>_xll.BDP($C596,"RTG_SP")</f>
        <v>#N/A N/A</v>
      </c>
    </row>
    <row r="597" spans="1:8" x14ac:dyDescent="0.25">
      <c r="A597" s="1" t="s">
        <v>200</v>
      </c>
      <c r="B597" s="1" t="s">
        <v>2473</v>
      </c>
      <c r="C597" s="1" t="s">
        <v>2474</v>
      </c>
      <c r="D597" s="1" t="s">
        <v>2475</v>
      </c>
      <c r="E597">
        <f>_xll.BDP($C597,"DUR_ADJ_MID")</f>
        <v>1.4607723314950436</v>
      </c>
      <c r="F597">
        <f>_xll.BDP($C597,"OAS_SPREAD_DUR_MID")</f>
        <v>1.463229111453743</v>
      </c>
      <c r="G597" t="str">
        <f>_xll.BDP($C597,"MATURITY")</f>
        <v>1/15/2028</v>
      </c>
      <c r="H597" t="str">
        <f>_xll.BDP($C597,"RTG_SP")</f>
        <v>#N/A N/A</v>
      </c>
    </row>
    <row r="598" spans="1:8" x14ac:dyDescent="0.25">
      <c r="A598" s="1" t="s">
        <v>200</v>
      </c>
      <c r="B598" s="1" t="s">
        <v>2476</v>
      </c>
      <c r="C598" s="1" t="s">
        <v>2477</v>
      </c>
      <c r="D598" s="1" t="s">
        <v>2478</v>
      </c>
      <c r="E598">
        <f>_xll.BDP($C598,"DUR_ADJ_MID")</f>
        <v>1.5446680142587064</v>
      </c>
      <c r="F598">
        <f>_xll.BDP($C598,"OAS_SPREAD_DUR_MID")</f>
        <v>1.5463509842293535</v>
      </c>
      <c r="G598" t="str">
        <f>_xll.BDP($C598,"MATURITY")</f>
        <v>2/15/2028</v>
      </c>
      <c r="H598" t="str">
        <f>_xll.BDP($C598,"RTG_SP")</f>
        <v>#N/A N/A</v>
      </c>
    </row>
    <row r="599" spans="1:8" x14ac:dyDescent="0.25">
      <c r="A599" s="1" t="s">
        <v>200</v>
      </c>
      <c r="B599" s="1" t="s">
        <v>2479</v>
      </c>
      <c r="C599" s="1" t="s">
        <v>2480</v>
      </c>
      <c r="D599" s="1" t="s">
        <v>2481</v>
      </c>
      <c r="E599">
        <f>_xll.BDP($C599,"DUR_ADJ_MID")</f>
        <v>1.6300027797137331</v>
      </c>
      <c r="F599">
        <f>_xll.BDP($C599,"OAS_SPREAD_DUR_MID")</f>
        <v>1.6292581266465402</v>
      </c>
      <c r="G599" t="str">
        <f>_xll.BDP($C599,"MATURITY")</f>
        <v>3/15/2028</v>
      </c>
      <c r="H599" t="str">
        <f>_xll.BDP($C599,"RTG_SP")</f>
        <v>#N/A N/A</v>
      </c>
    </row>
    <row r="600" spans="1:8" x14ac:dyDescent="0.25">
      <c r="A600" s="1" t="s">
        <v>200</v>
      </c>
      <c r="B600" s="1" t="s">
        <v>2482</v>
      </c>
      <c r="C600" s="1" t="s">
        <v>2483</v>
      </c>
      <c r="D600" s="1" t="s">
        <v>2484</v>
      </c>
      <c r="E600">
        <f>_xll.BDP($C600,"DUR_ADJ_MID")</f>
        <v>1.713146000700235</v>
      </c>
      <c r="F600">
        <f>_xll.BDP($C600,"OAS_SPREAD_DUR_MID")</f>
        <v>1.7139986866903547</v>
      </c>
      <c r="G600" t="str">
        <f>_xll.BDP($C600,"MATURITY")</f>
        <v>4/15/2028</v>
      </c>
      <c r="H600" t="str">
        <f>_xll.BDP($C600,"RTG_SP")</f>
        <v>#N/A N/A</v>
      </c>
    </row>
    <row r="601" spans="1:8" x14ac:dyDescent="0.25">
      <c r="A601" s="1" t="s">
        <v>200</v>
      </c>
      <c r="B601" s="1" t="s">
        <v>2485</v>
      </c>
      <c r="C601" s="1" t="s">
        <v>2486</v>
      </c>
      <c r="D601" s="1" t="s">
        <v>2487</v>
      </c>
      <c r="E601">
        <f>_xll.BDP($C601,"DUR_ADJ_MID")</f>
        <v>1.7940263379009518</v>
      </c>
      <c r="F601">
        <f>_xll.BDP($C601,"OAS_SPREAD_DUR_MID")</f>
        <v>1.7945222442992195</v>
      </c>
      <c r="G601" t="str">
        <f>_xll.BDP($C601,"MATURITY")</f>
        <v>5/15/2028</v>
      </c>
      <c r="H601" t="str">
        <f>_xll.BDP($C601,"RTG_SP")</f>
        <v>#N/A N/A</v>
      </c>
    </row>
    <row r="602" spans="1:8" x14ac:dyDescent="0.25">
      <c r="A602" s="1" t="s">
        <v>200</v>
      </c>
      <c r="B602" s="1" t="s">
        <v>2488</v>
      </c>
      <c r="C602" s="1" t="s">
        <v>2489</v>
      </c>
      <c r="D602" s="1" t="s">
        <v>2490</v>
      </c>
      <c r="E602">
        <f>_xll.BDP($C602,"DUR_ADJ_MID")</f>
        <v>0.90117301791843019</v>
      </c>
      <c r="F602">
        <f>_xll.BDP($C602,"OAS_SPREAD_DUR_MID")</f>
        <v>0.90037357726515566</v>
      </c>
      <c r="G602" t="str">
        <f>_xll.BDP($C602,"MATURITY")</f>
        <v>5/31/2027</v>
      </c>
      <c r="H602" t="str">
        <f>_xll.BDP($C602,"RTG_SP")</f>
        <v>#N/A N/A</v>
      </c>
    </row>
    <row r="603" spans="1:8" x14ac:dyDescent="0.25">
      <c r="A603" s="1" t="s">
        <v>200</v>
      </c>
      <c r="B603" s="1" t="s">
        <v>2491</v>
      </c>
      <c r="C603" s="1" t="s">
        <v>2492</v>
      </c>
      <c r="D603" s="1" t="s">
        <v>2493</v>
      </c>
      <c r="E603">
        <f>_xll.BDP($C603,"DUR_ADJ_MID")</f>
        <v>1.8747746051850933</v>
      </c>
      <c r="F603">
        <f>_xll.BDP($C603,"OAS_SPREAD_DUR_MID")</f>
        <v>1.8759578045401639</v>
      </c>
      <c r="G603" t="str">
        <f>_xll.BDP($C603,"MATURITY")</f>
        <v>6/15/2028</v>
      </c>
      <c r="H603" t="str">
        <f>_xll.BDP($C603,"RTG_SP")</f>
        <v>#N/A N/A</v>
      </c>
    </row>
    <row r="604" spans="1:8" x14ac:dyDescent="0.25">
      <c r="A604" s="1" t="s">
        <v>200</v>
      </c>
      <c r="B604" s="1" t="s">
        <v>2494</v>
      </c>
      <c r="C604" s="1" t="s">
        <v>2495</v>
      </c>
      <c r="D604" s="1" t="s">
        <v>2496</v>
      </c>
      <c r="E604">
        <f>_xll.BDP($C604,"DUR_ADJ_MID")</f>
        <v>0.96392519984058045</v>
      </c>
      <c r="F604">
        <f>_xll.BDP($C604,"OAS_SPREAD_DUR_MID")</f>
        <v>0.96323471456992049</v>
      </c>
      <c r="G604" t="str">
        <f>_xll.BDP($C604,"MATURITY")</f>
        <v>6/30/2027</v>
      </c>
      <c r="H604" t="str">
        <f>_xll.BDP($C604,"RTG_SP")</f>
        <v>#N/A N/A</v>
      </c>
    </row>
    <row r="605" spans="1:8" x14ac:dyDescent="0.25">
      <c r="A605" s="1" t="s">
        <v>200</v>
      </c>
      <c r="B605" s="1" t="s">
        <v>2497</v>
      </c>
      <c r="C605" s="1" t="s">
        <v>2498</v>
      </c>
      <c r="D605" s="1" t="s">
        <v>2499</v>
      </c>
      <c r="E605">
        <f>_xll.BDP($C605,"DUR_ADJ_MID")</f>
        <v>1.919185265881616</v>
      </c>
      <c r="F605">
        <f>_xll.BDP($C605,"OAS_SPREAD_DUR_MID")</f>
        <v>1.9200329440400852</v>
      </c>
      <c r="G605" t="str">
        <f>_xll.BDP($C605,"MATURITY")</f>
        <v>7/15/2028</v>
      </c>
      <c r="H605" t="str">
        <f>_xll.BDP($C605,"RTG_SP")</f>
        <v>#N/A N/A</v>
      </c>
    </row>
    <row r="606" spans="1:8" x14ac:dyDescent="0.25">
      <c r="A606" s="1" t="s">
        <v>200</v>
      </c>
      <c r="B606" s="1" t="s">
        <v>2500</v>
      </c>
      <c r="C606" s="1" t="s">
        <v>2501</v>
      </c>
      <c r="D606" s="1" t="s">
        <v>2502</v>
      </c>
      <c r="E606">
        <f>_xll.BDP($C606,"DUR_ADJ_MID")</f>
        <v>1.0468437236308186</v>
      </c>
      <c r="F606">
        <f>_xll.BDP($C606,"OAS_SPREAD_DUR_MID")</f>
        <v>1.0453857697569575</v>
      </c>
      <c r="G606" t="str">
        <f>_xll.BDP($C606,"MATURITY")</f>
        <v>7/31/2027</v>
      </c>
      <c r="H606" t="str">
        <f>_xll.BDP($C606,"RTG_SP")</f>
        <v>#N/A N/A</v>
      </c>
    </row>
    <row r="607" spans="1:8" x14ac:dyDescent="0.25">
      <c r="A607" s="1" t="s">
        <v>200</v>
      </c>
      <c r="B607" s="1" t="s">
        <v>2503</v>
      </c>
      <c r="C607" s="1" t="s">
        <v>2504</v>
      </c>
      <c r="D607" s="1" t="s">
        <v>2505</v>
      </c>
      <c r="E607">
        <f>_xll.BDP($C607,"DUR_ADJ_MID")</f>
        <v>2.0085194743421928</v>
      </c>
      <c r="F607">
        <f>_xll.BDP($C607,"OAS_SPREAD_DUR_MID")</f>
        <v>2.0085960117640278</v>
      </c>
      <c r="G607" t="str">
        <f>_xll.BDP($C607,"MATURITY")</f>
        <v>8/15/2028</v>
      </c>
      <c r="H607" t="str">
        <f>_xll.BDP($C607,"RTG_SP")</f>
        <v>#N/A N/A</v>
      </c>
    </row>
    <row r="608" spans="1:8" x14ac:dyDescent="0.25">
      <c r="A608" s="1" t="s">
        <v>200</v>
      </c>
      <c r="B608" s="1" t="s">
        <v>2506</v>
      </c>
      <c r="C608" s="1" t="s">
        <v>2507</v>
      </c>
      <c r="D608" s="1" t="s">
        <v>2508</v>
      </c>
      <c r="E608">
        <f>_xll.BDP($C608,"DUR_ADJ_MID")</f>
        <v>1.1295211622636609</v>
      </c>
      <c r="F608">
        <f>_xll.BDP($C608,"OAS_SPREAD_DUR_MID")</f>
        <v>1.1301222360521259</v>
      </c>
      <c r="G608" t="str">
        <f>_xll.BDP($C608,"MATURITY")</f>
        <v>8/31/2027</v>
      </c>
      <c r="H608" t="str">
        <f>_xll.BDP($C608,"RTG_SP")</f>
        <v>#N/A N/A</v>
      </c>
    </row>
    <row r="609" spans="1:8" x14ac:dyDescent="0.25">
      <c r="A609" s="1" t="s">
        <v>200</v>
      </c>
      <c r="B609" s="1" t="s">
        <v>2509</v>
      </c>
      <c r="C609" s="1" t="s">
        <v>2510</v>
      </c>
      <c r="D609" s="1" t="s">
        <v>2511</v>
      </c>
      <c r="E609">
        <f>_xll.BDP($C609,"DUR_ADJ_MID")</f>
        <v>2.0942783249061443</v>
      </c>
      <c r="F609">
        <f>_xll.BDP($C609,"OAS_SPREAD_DUR_MID")</f>
        <v>2.0970111557495859</v>
      </c>
      <c r="G609" t="str">
        <f>_xll.BDP($C609,"MATURITY")</f>
        <v>9/15/2028</v>
      </c>
      <c r="H609" t="str">
        <f>_xll.BDP($C609,"RTG_SP")</f>
        <v>#N/A N/A</v>
      </c>
    </row>
    <row r="610" spans="1:8" x14ac:dyDescent="0.25">
      <c r="A610" s="1" t="s">
        <v>200</v>
      </c>
      <c r="B610" s="1" t="s">
        <v>2512</v>
      </c>
      <c r="C610" s="1" t="s">
        <v>2513</v>
      </c>
      <c r="D610" s="1" t="s">
        <v>2514</v>
      </c>
      <c r="E610">
        <f>_xll.BDP($C610,"DUR_ADJ_MID")</f>
        <v>1.2116473657935498</v>
      </c>
      <c r="F610">
        <f>_xll.BDP($C610,"OAS_SPREAD_DUR_MID")</f>
        <v>1.2114814940892147</v>
      </c>
      <c r="G610" t="str">
        <f>_xll.BDP($C610,"MATURITY")</f>
        <v>9/30/2027</v>
      </c>
      <c r="H610" t="str">
        <f>_xll.BDP($C610,"RTG_SP")</f>
        <v>#N/A N/A</v>
      </c>
    </row>
    <row r="611" spans="1:8" x14ac:dyDescent="0.25">
      <c r="A611" s="1" t="s">
        <v>200</v>
      </c>
      <c r="B611" s="1" t="s">
        <v>2515</v>
      </c>
      <c r="C611" s="1" t="s">
        <v>2516</v>
      </c>
      <c r="D611" s="1" t="s">
        <v>2517</v>
      </c>
      <c r="E611">
        <f>_xll.BDP($C611,"DUR_ADJ_MID")</f>
        <v>2.1729562166838763</v>
      </c>
      <c r="F611">
        <f>_xll.BDP($C611,"OAS_SPREAD_DUR_MID")</f>
        <v>2.1747337449588757</v>
      </c>
      <c r="G611" t="str">
        <f>_xll.BDP($C611,"MATURITY")</f>
        <v>10/15/2028</v>
      </c>
      <c r="H611" t="str">
        <f>_xll.BDP($C611,"RTG_SP")</f>
        <v>#N/A N/A</v>
      </c>
    </row>
    <row r="612" spans="1:8" x14ac:dyDescent="0.25">
      <c r="A612" s="1" t="s">
        <v>200</v>
      </c>
      <c r="B612" s="1" t="s">
        <v>2518</v>
      </c>
      <c r="C612" s="1" t="s">
        <v>2519</v>
      </c>
      <c r="D612" s="1" t="s">
        <v>2520</v>
      </c>
      <c r="E612">
        <f>_xll.BDP($C612,"DUR_ADJ_MID")</f>
        <v>1.2926247452131387</v>
      </c>
      <c r="F612">
        <f>_xll.BDP($C612,"OAS_SPREAD_DUR_MID")</f>
        <v>1.2944699042297871</v>
      </c>
      <c r="G612" t="str">
        <f>_xll.BDP($C612,"MATURITY")</f>
        <v>10/31/2027</v>
      </c>
      <c r="H612" t="str">
        <f>_xll.BDP($C612,"RTG_SP")</f>
        <v>#N/A N/A</v>
      </c>
    </row>
    <row r="613" spans="1:8" x14ac:dyDescent="0.25">
      <c r="A613" s="1" t="s">
        <v>200</v>
      </c>
      <c r="B613" s="1" t="s">
        <v>2521</v>
      </c>
      <c r="C613" s="1" t="s">
        <v>2522</v>
      </c>
      <c r="D613" s="1" t="s">
        <v>2523</v>
      </c>
      <c r="E613">
        <f>_xll.BDP($C613,"DUR_ADJ_MID")</f>
        <v>2.2539123242717185</v>
      </c>
      <c r="F613">
        <f>_xll.BDP($C613,"OAS_SPREAD_DUR_MID")</f>
        <v>2.2578792570554276</v>
      </c>
      <c r="G613" t="str">
        <f>_xll.BDP($C613,"MATURITY")</f>
        <v>11/15/2028</v>
      </c>
      <c r="H613" t="str">
        <f>_xll.BDP($C613,"RTG_SP")</f>
        <v>#N/A N/A</v>
      </c>
    </row>
    <row r="614" spans="1:8" x14ac:dyDescent="0.25">
      <c r="A614" s="1" t="s">
        <v>200</v>
      </c>
      <c r="B614" s="1" t="s">
        <v>2524</v>
      </c>
      <c r="C614" s="1" t="s">
        <v>2525</v>
      </c>
      <c r="D614" s="1" t="s">
        <v>2526</v>
      </c>
      <c r="E614">
        <f>_xll.BDP($C614,"DUR_ADJ_MID")</f>
        <v>1.3756622307298594</v>
      </c>
      <c r="F614">
        <f>_xll.BDP($C614,"OAS_SPREAD_DUR_MID")</f>
        <v>1.3758357950699751</v>
      </c>
      <c r="G614" t="str">
        <f>_xll.BDP($C614,"MATURITY")</f>
        <v>11/30/2027</v>
      </c>
      <c r="H614" t="str">
        <f>_xll.BDP($C614,"RTG_SP")</f>
        <v>#N/A N/A</v>
      </c>
    </row>
    <row r="615" spans="1:8" x14ac:dyDescent="0.25">
      <c r="A615" s="1" t="s">
        <v>200</v>
      </c>
      <c r="B615" s="1" t="s">
        <v>2527</v>
      </c>
      <c r="C615" s="1" t="s">
        <v>2528</v>
      </c>
      <c r="D615" s="1" t="s">
        <v>2529</v>
      </c>
      <c r="E615">
        <f>_xll.BDP($C615,"DUR_ADJ_MID")</f>
        <v>2.3363427957996614</v>
      </c>
      <c r="F615">
        <f>_xll.BDP($C615,"OAS_SPREAD_DUR_MID")</f>
        <v>2.3384592099656998</v>
      </c>
      <c r="G615" t="str">
        <f>_xll.BDP($C615,"MATURITY")</f>
        <v>12/15/2028</v>
      </c>
      <c r="H615" t="str">
        <f>_xll.BDP($C615,"RTG_SP")</f>
        <v>#N/A N/A</v>
      </c>
    </row>
    <row r="616" spans="1:8" x14ac:dyDescent="0.25">
      <c r="A616" s="1" t="s">
        <v>200</v>
      </c>
      <c r="B616" s="1" t="s">
        <v>2530</v>
      </c>
      <c r="C616" s="1" t="s">
        <v>2531</v>
      </c>
      <c r="D616" s="1" t="s">
        <v>2532</v>
      </c>
      <c r="E616">
        <f>_xll.BDP($C616,"DUR_ADJ_MID")</f>
        <v>1.4317718283679641</v>
      </c>
      <c r="F616">
        <f>_xll.BDP($C616,"OAS_SPREAD_DUR_MID")</f>
        <v>1.4346328953989742</v>
      </c>
      <c r="G616" t="str">
        <f>_xll.BDP($C616,"MATURITY")</f>
        <v>12/31/2027</v>
      </c>
      <c r="H616" t="str">
        <f>_xll.BDP($C616,"RTG_SP")</f>
        <v>#N/A N/A</v>
      </c>
    </row>
    <row r="617" spans="1:8" x14ac:dyDescent="0.25">
      <c r="A617" s="1" t="s">
        <v>200</v>
      </c>
      <c r="B617" s="1" t="s">
        <v>2533</v>
      </c>
      <c r="C617" s="1" t="s">
        <v>2534</v>
      </c>
      <c r="D617" s="1" t="s">
        <v>2535</v>
      </c>
      <c r="E617">
        <f>_xll.BDP($C617,"DUR_ADJ_MID")</f>
        <v>2.37582825654962</v>
      </c>
      <c r="F617">
        <f>_xll.BDP($C617,"OAS_SPREAD_DUR_MID")</f>
        <v>2.3800921463989684</v>
      </c>
      <c r="G617" t="str">
        <f>_xll.BDP($C617,"MATURITY")</f>
        <v>1/15/2029</v>
      </c>
      <c r="H617" t="str">
        <f>_xll.BDP($C617,"RTG_SP")</f>
        <v>#N/A N/A</v>
      </c>
    </row>
    <row r="618" spans="1:8" x14ac:dyDescent="0.25">
      <c r="A618" s="1" t="s">
        <v>200</v>
      </c>
      <c r="B618" s="1" t="s">
        <v>2536</v>
      </c>
      <c r="C618" s="1" t="s">
        <v>2537</v>
      </c>
      <c r="D618" s="1" t="s">
        <v>2538</v>
      </c>
      <c r="E618">
        <f>_xll.BDP($C618,"DUR_ADJ_MID")</f>
        <v>2.4598165713064577</v>
      </c>
      <c r="F618">
        <f>_xll.BDP($C618,"OAS_SPREAD_DUR_MID")</f>
        <v>2.4633032835582793</v>
      </c>
      <c r="G618" t="str">
        <f>_xll.BDP($C618,"MATURITY")</f>
        <v>2/15/2029</v>
      </c>
      <c r="H618" t="str">
        <f>_xll.BDP($C618,"RTG_SP")</f>
        <v>#N/A N/A</v>
      </c>
    </row>
    <row r="619" spans="1:8" x14ac:dyDescent="0.25">
      <c r="A619" s="1" t="s">
        <v>200</v>
      </c>
      <c r="B619" s="1" t="s">
        <v>2539</v>
      </c>
      <c r="C619" s="1" t="s">
        <v>2540</v>
      </c>
      <c r="D619" s="1" t="s">
        <v>2541</v>
      </c>
      <c r="E619">
        <f>_xll.BDP($C619,"DUR_ADJ_MID")</f>
        <v>1.5968099807960905</v>
      </c>
      <c r="F619">
        <f>_xll.BDP($C619,"OAS_SPREAD_DUR_MID")</f>
        <v>1.5957625893936944</v>
      </c>
      <c r="G619" t="str">
        <f>_xll.BDP($C619,"MATURITY")</f>
        <v>2/29/2028</v>
      </c>
      <c r="H619" t="str">
        <f>_xll.BDP($C619,"RTG_SP")</f>
        <v>#N/A N/A</v>
      </c>
    </row>
    <row r="620" spans="1:8" x14ac:dyDescent="0.25">
      <c r="A620" s="1" t="s">
        <v>200</v>
      </c>
      <c r="B620" s="1" t="s">
        <v>2542</v>
      </c>
      <c r="C620" s="1" t="s">
        <v>2543</v>
      </c>
      <c r="D620" s="1" t="s">
        <v>2511</v>
      </c>
      <c r="E620">
        <f>_xll.BDP($C620,"DUR_ADJ_MID")</f>
        <v>2.540233836721757</v>
      </c>
      <c r="F620">
        <f>_xll.BDP($C620,"OAS_SPREAD_DUR_MID")</f>
        <v>2.5388510921396685</v>
      </c>
      <c r="G620" t="str">
        <f>_xll.BDP($C620,"MATURITY")</f>
        <v>3/15/2029</v>
      </c>
      <c r="H620" t="str">
        <f>_xll.BDP($C620,"RTG_SP")</f>
        <v>#N/A N/A</v>
      </c>
    </row>
    <row r="621" spans="1:8" x14ac:dyDescent="0.25">
      <c r="A621" s="1" t="s">
        <v>200</v>
      </c>
      <c r="B621" s="1" t="s">
        <v>2544</v>
      </c>
      <c r="C621" s="1" t="s">
        <v>2545</v>
      </c>
      <c r="D621" s="1" t="s">
        <v>2546</v>
      </c>
      <c r="E621">
        <f>_xll.BDP($C621,"DUR_ADJ_MID")</f>
        <v>1.6713469498147078</v>
      </c>
      <c r="F621">
        <f>_xll.BDP($C621,"OAS_SPREAD_DUR_MID")</f>
        <v>1.6721137480967498</v>
      </c>
      <c r="G621" t="str">
        <f>_xll.BDP($C621,"MATURITY")</f>
        <v>3/31/2028</v>
      </c>
      <c r="H621" t="str">
        <f>_xll.BDP($C621,"RTG_SP")</f>
        <v>#N/A N/A</v>
      </c>
    </row>
    <row r="622" spans="1:8" x14ac:dyDescent="0.25">
      <c r="A622" s="1" t="s">
        <v>200</v>
      </c>
      <c r="B622" s="1" t="s">
        <v>2547</v>
      </c>
      <c r="C622" s="1" t="s">
        <v>2548</v>
      </c>
      <c r="D622" s="1" t="s">
        <v>2549</v>
      </c>
      <c r="E622">
        <f>_xll.BDP($C622,"DUR_ADJ_MID")</f>
        <v>2.609764782781955</v>
      </c>
      <c r="F622">
        <f>_xll.BDP($C622,"OAS_SPREAD_DUR_MID")</f>
        <v>2.60993101537992</v>
      </c>
      <c r="G622" t="str">
        <f>_xll.BDP($C622,"MATURITY")</f>
        <v>4/15/2029</v>
      </c>
      <c r="H622" t="str">
        <f>_xll.BDP($C622,"RTG_SP")</f>
        <v>#N/A N/A</v>
      </c>
    </row>
    <row r="623" spans="1:8" x14ac:dyDescent="0.25">
      <c r="A623" s="1" t="s">
        <v>200</v>
      </c>
      <c r="B623" s="1" t="s">
        <v>2550</v>
      </c>
      <c r="C623" s="1" t="s">
        <v>2551</v>
      </c>
      <c r="D623" s="1" t="s">
        <v>2552</v>
      </c>
      <c r="E623">
        <f>_xll.BDP($C623,"DUR_ADJ_MID")</f>
        <v>1.7541423035388968</v>
      </c>
      <c r="F623">
        <f>_xll.BDP($C623,"OAS_SPREAD_DUR_MID")</f>
        <v>1.7543332029038821</v>
      </c>
      <c r="G623" t="str">
        <f>_xll.BDP($C623,"MATURITY")</f>
        <v>4/30/2028</v>
      </c>
      <c r="H623" t="str">
        <f>_xll.BDP($C623,"RTG_SP")</f>
        <v>#N/A N/A</v>
      </c>
    </row>
    <row r="624" spans="1:8" x14ac:dyDescent="0.25">
      <c r="A624" s="1" t="s">
        <v>200</v>
      </c>
      <c r="B624" s="1" t="s">
        <v>2553</v>
      </c>
      <c r="C624" s="1" t="s">
        <v>2554</v>
      </c>
      <c r="D624" s="1" t="s">
        <v>2555</v>
      </c>
      <c r="E624">
        <f>_xll.BDP($C624,"DUR_ADJ_MID")</f>
        <v>2.6907395043003088</v>
      </c>
      <c r="F624">
        <f>_xll.BDP($C624,"OAS_SPREAD_DUR_MID")</f>
        <v>2.6906064042324496</v>
      </c>
      <c r="G624" t="str">
        <f>_xll.BDP($C624,"MATURITY")</f>
        <v>5/15/2029</v>
      </c>
      <c r="H624" t="str">
        <f>_xll.BDP($C624,"RTG_SP")</f>
        <v>#N/A N/A</v>
      </c>
    </row>
    <row r="625" spans="1:8" x14ac:dyDescent="0.25">
      <c r="A625" s="1" t="s">
        <v>214</v>
      </c>
      <c r="B625" s="1" t="s">
        <v>2270</v>
      </c>
      <c r="C625" s="1" t="s">
        <v>2271</v>
      </c>
      <c r="D625" s="1" t="s">
        <v>2556</v>
      </c>
      <c r="E625">
        <f>_xll.BDP($C625,"DUR_ADJ_MID")</f>
        <v>0.90921083558627336</v>
      </c>
      <c r="F625">
        <f>_xll.BDP($C625,"OAS_SPREAD_DUR_MID")</f>
        <v>0.90838694068574666</v>
      </c>
      <c r="G625" t="str">
        <f>_xll.BDP($C625,"MATURITY")</f>
        <v>5/31/2027</v>
      </c>
      <c r="H625" t="str">
        <f>_xll.BDP($C625,"RTG_SP")</f>
        <v>#N/A N/A</v>
      </c>
    </row>
    <row r="626" spans="1:8" x14ac:dyDescent="0.25">
      <c r="A626" s="1" t="s">
        <v>222</v>
      </c>
      <c r="B626" s="1" t="s">
        <v>2277</v>
      </c>
      <c r="C626" s="1" t="s">
        <v>2278</v>
      </c>
      <c r="D626" s="1" t="s">
        <v>2557</v>
      </c>
      <c r="E626">
        <f>_xll.BDP($C626,"DUR_ADJ_MID")</f>
        <v>0.81939285756514324</v>
      </c>
      <c r="F626">
        <f>_xll.BDP($C626,"OAS_SPREAD_DUR_MID")</f>
        <v>0.81762406785553932</v>
      </c>
      <c r="G626" t="str">
        <f>_xll.BDP($C626,"MATURITY")</f>
        <v>4/30/2027</v>
      </c>
      <c r="H626" t="str">
        <f>_xll.BDP($C626,"RTG_SP")</f>
        <v>#N/A N/A</v>
      </c>
    </row>
    <row r="627" spans="1:8" x14ac:dyDescent="0.25">
      <c r="A627" s="1" t="s">
        <v>290</v>
      </c>
      <c r="B627" s="1" t="s">
        <v>2270</v>
      </c>
      <c r="C627" s="1" t="s">
        <v>2271</v>
      </c>
      <c r="D627" s="1" t="s">
        <v>2558</v>
      </c>
      <c r="E627">
        <f>_xll.BDP($C627,"DUR_ADJ_MID")</f>
        <v>0.90921083558627336</v>
      </c>
      <c r="F627">
        <f>_xll.BDP($C627,"OAS_SPREAD_DUR_MID")</f>
        <v>0.90838694068574666</v>
      </c>
      <c r="G627" t="str">
        <f>_xll.BDP($C627,"MATURITY")</f>
        <v>5/31/2027</v>
      </c>
      <c r="H627" t="str">
        <f>_xll.BDP($C627,"RTG_SP")</f>
        <v>#N/A N/A</v>
      </c>
    </row>
    <row r="628" spans="1:8" x14ac:dyDescent="0.25">
      <c r="A628" s="1" t="s">
        <v>296</v>
      </c>
      <c r="B628" s="1" t="s">
        <v>2277</v>
      </c>
      <c r="C628" s="1" t="s">
        <v>2278</v>
      </c>
      <c r="D628" s="1" t="s">
        <v>2559</v>
      </c>
      <c r="E628">
        <f>_xll.BDP($C628,"DUR_ADJ_MID")</f>
        <v>0.81939285756514324</v>
      </c>
      <c r="F628">
        <f>_xll.BDP($C628,"OAS_SPREAD_DUR_MID")</f>
        <v>0.81762406785553932</v>
      </c>
      <c r="G628" t="str">
        <f>_xll.BDP($C628,"MATURITY")</f>
        <v>4/30/2027</v>
      </c>
      <c r="H628" t="str">
        <f>_xll.BDP($C628,"RTG_SP")</f>
        <v>#N/A N/A</v>
      </c>
    </row>
    <row r="629" spans="1:8" x14ac:dyDescent="0.25">
      <c r="A629" s="1" t="s">
        <v>310</v>
      </c>
      <c r="B629" s="1" t="s">
        <v>2270</v>
      </c>
      <c r="C629" s="1" t="s">
        <v>2271</v>
      </c>
      <c r="D629" s="1" t="s">
        <v>2560</v>
      </c>
      <c r="E629">
        <f>_xll.BDP($C629,"DUR_ADJ_MID")</f>
        <v>0.90921083558627336</v>
      </c>
      <c r="F629">
        <f>_xll.BDP($C629,"OAS_SPREAD_DUR_MID")</f>
        <v>0.90838694068574666</v>
      </c>
      <c r="G629" t="str">
        <f>_xll.BDP($C629,"MATURITY")</f>
        <v>5/31/2027</v>
      </c>
      <c r="H629" t="str">
        <f>_xll.BDP($C629,"RTG_SP")</f>
        <v>#N/A N/A</v>
      </c>
    </row>
    <row r="630" spans="1:8" x14ac:dyDescent="0.25">
      <c r="A630" s="1" t="s">
        <v>319</v>
      </c>
      <c r="B630" s="1" t="s">
        <v>2277</v>
      </c>
      <c r="C630" s="1" t="s">
        <v>2278</v>
      </c>
      <c r="D630" s="1" t="s">
        <v>2561</v>
      </c>
      <c r="E630">
        <f>_xll.BDP($C630,"DUR_ADJ_MID")</f>
        <v>0.81939285756514324</v>
      </c>
      <c r="F630">
        <f>_xll.BDP($C630,"OAS_SPREAD_DUR_MID")</f>
        <v>0.81762406785553932</v>
      </c>
      <c r="G630" t="str">
        <f>_xll.BDP($C630,"MATURITY")</f>
        <v>4/30/2027</v>
      </c>
      <c r="H630" t="str">
        <f>_xll.BDP($C630,"RTG_SP")</f>
        <v>#N/A N/A</v>
      </c>
    </row>
    <row r="631" spans="1:8" x14ac:dyDescent="0.25">
      <c r="A631" s="1" t="s">
        <v>333</v>
      </c>
      <c r="B631" s="1" t="s">
        <v>2270</v>
      </c>
      <c r="C631" s="1" t="s">
        <v>2271</v>
      </c>
      <c r="D631" s="1" t="s">
        <v>2562</v>
      </c>
      <c r="E631">
        <f>_xll.BDP($C631,"DUR_ADJ_MID")</f>
        <v>0.90921083558627336</v>
      </c>
      <c r="F631">
        <f>_xll.BDP($C631,"OAS_SPREAD_DUR_MID")</f>
        <v>0.90838694068574666</v>
      </c>
      <c r="G631" t="str">
        <f>_xll.BDP($C631,"MATURITY")</f>
        <v>5/31/2027</v>
      </c>
      <c r="H631" t="str">
        <f>_xll.BDP($C631,"RTG_SP")</f>
        <v>#N/A N/A</v>
      </c>
    </row>
    <row r="632" spans="1:8" x14ac:dyDescent="0.25">
      <c r="A632" s="1" t="s">
        <v>371</v>
      </c>
      <c r="B632" s="1" t="s">
        <v>2273</v>
      </c>
      <c r="C632" s="1" t="s">
        <v>2274</v>
      </c>
      <c r="D632" s="1" t="s">
        <v>2563</v>
      </c>
      <c r="E632">
        <f>_xll.BDP($C632,"DUR_ADJ_MID")</f>
        <v>0.82713580906071538</v>
      </c>
      <c r="F632">
        <f>_xll.BDP($C632,"OAS_SPREAD_DUR_MID")</f>
        <v>0.8252968777068489</v>
      </c>
      <c r="G632" t="str">
        <f>_xll.BDP($C632,"MATURITY")</f>
        <v>4/30/2027</v>
      </c>
      <c r="H632" t="str">
        <f>_xll.BDP($C632,"RTG_SP")</f>
        <v>#N/A N/A</v>
      </c>
    </row>
    <row r="633" spans="1:8" x14ac:dyDescent="0.25">
      <c r="A633" s="1" t="s">
        <v>423</v>
      </c>
      <c r="B633" s="1" t="s">
        <v>2270</v>
      </c>
      <c r="C633" s="1" t="s">
        <v>2271</v>
      </c>
      <c r="D633" s="1" t="s">
        <v>2276</v>
      </c>
      <c r="E633">
        <f>_xll.BDP($C633,"DUR_ADJ_MID")</f>
        <v>0.90921083558627336</v>
      </c>
      <c r="F633">
        <f>_xll.BDP($C633,"OAS_SPREAD_DUR_MID")</f>
        <v>0.90838694068574666</v>
      </c>
      <c r="G633" t="str">
        <f>_xll.BDP($C633,"MATURITY")</f>
        <v>5/31/2027</v>
      </c>
      <c r="H633" t="str">
        <f>_xll.BDP($C633,"RTG_SP")</f>
        <v>#N/A N/A</v>
      </c>
    </row>
    <row r="634" spans="1:8" x14ac:dyDescent="0.25">
      <c r="A634" s="1" t="s">
        <v>430</v>
      </c>
      <c r="B634" s="1" t="s">
        <v>2277</v>
      </c>
      <c r="C634" s="1" t="s">
        <v>2278</v>
      </c>
      <c r="D634" s="1" t="s">
        <v>2564</v>
      </c>
      <c r="E634">
        <f>_xll.BDP($C634,"DUR_ADJ_MID")</f>
        <v>0.81939285756514324</v>
      </c>
      <c r="F634">
        <f>_xll.BDP($C634,"OAS_SPREAD_DUR_MID")</f>
        <v>0.81762406785553932</v>
      </c>
      <c r="G634" t="str">
        <f>_xll.BDP($C634,"MATURITY")</f>
        <v>4/30/2027</v>
      </c>
      <c r="H634" t="str">
        <f>_xll.BDP($C634,"RTG_SP")</f>
        <v>#N/A N/A</v>
      </c>
    </row>
    <row r="635" spans="1:8" x14ac:dyDescent="0.25">
      <c r="A635" s="1" t="s">
        <v>438</v>
      </c>
      <c r="B635" s="1" t="s">
        <v>2270</v>
      </c>
      <c r="C635" s="1" t="s">
        <v>2271</v>
      </c>
      <c r="D635" s="1" t="s">
        <v>2565</v>
      </c>
      <c r="E635">
        <f>_xll.BDP($C635,"DUR_ADJ_MID")</f>
        <v>0.90921083558627336</v>
      </c>
      <c r="F635">
        <f>_xll.BDP($C635,"OAS_SPREAD_DUR_MID")</f>
        <v>0.90838694068574666</v>
      </c>
      <c r="G635" t="str">
        <f>_xll.BDP($C635,"MATURITY")</f>
        <v>5/31/2027</v>
      </c>
      <c r="H635" t="str">
        <f>_xll.BDP($C635,"RTG_SP")</f>
        <v>#N/A N/A</v>
      </c>
    </row>
    <row r="636" spans="1:8" x14ac:dyDescent="0.25">
      <c r="A636" s="1" t="s">
        <v>444</v>
      </c>
      <c r="B636" s="1" t="s">
        <v>2273</v>
      </c>
      <c r="C636" s="1" t="s">
        <v>2274</v>
      </c>
      <c r="D636" s="1" t="s">
        <v>2566</v>
      </c>
      <c r="E636">
        <f>_xll.BDP($C636,"DUR_ADJ_MID")</f>
        <v>0.82713580906071538</v>
      </c>
      <c r="F636">
        <f>_xll.BDP($C636,"OAS_SPREAD_DUR_MID")</f>
        <v>0.8252968777068489</v>
      </c>
      <c r="G636" t="str">
        <f>_xll.BDP($C636,"MATURITY")</f>
        <v>4/30/2027</v>
      </c>
      <c r="H636" t="str">
        <f>_xll.BDP($C636,"RTG_SP")</f>
        <v>#N/A N/A</v>
      </c>
    </row>
    <row r="637" spans="1:8" x14ac:dyDescent="0.25">
      <c r="A637" s="1" t="s">
        <v>457</v>
      </c>
      <c r="B637" s="1" t="s">
        <v>2270</v>
      </c>
      <c r="C637" s="1" t="s">
        <v>2271</v>
      </c>
      <c r="D637" s="1" t="s">
        <v>2567</v>
      </c>
      <c r="E637">
        <f>_xll.BDP($C637,"DUR_ADJ_MID")</f>
        <v>0.90921083558627336</v>
      </c>
      <c r="F637">
        <f>_xll.BDP($C637,"OAS_SPREAD_DUR_MID")</f>
        <v>0.90838694068574666</v>
      </c>
      <c r="G637" t="str">
        <f>_xll.BDP($C637,"MATURITY")</f>
        <v>5/31/2027</v>
      </c>
      <c r="H637" t="str">
        <f>_xll.BDP($C637,"RTG_SP")</f>
        <v>#N/A N/A</v>
      </c>
    </row>
    <row r="638" spans="1:8" x14ac:dyDescent="0.25">
      <c r="A638" s="1" t="s">
        <v>464</v>
      </c>
      <c r="B638" s="1" t="s">
        <v>2277</v>
      </c>
      <c r="C638" s="1" t="s">
        <v>2278</v>
      </c>
      <c r="D638" s="1" t="s">
        <v>2568</v>
      </c>
      <c r="E638">
        <f>_xll.BDP($C638,"DUR_ADJ_MID")</f>
        <v>0.81939285756514324</v>
      </c>
      <c r="F638">
        <f>_xll.BDP($C638,"OAS_SPREAD_DUR_MID")</f>
        <v>0.81762406785553932</v>
      </c>
      <c r="G638" t="str">
        <f>_xll.BDP($C638,"MATURITY")</f>
        <v>4/30/2027</v>
      </c>
      <c r="H638" t="str">
        <f>_xll.BDP($C638,"RTG_SP")</f>
        <v>#N/A 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filing</vt:lpstr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damien@corgi.insure</cp:lastModifiedBy>
  <dcterms:created xsi:type="dcterms:W3CDTF">2026-06-25T18:21:04Z</dcterms:created>
  <dcterms:modified xsi:type="dcterms:W3CDTF">2026-06-25T19:46:42Z</dcterms:modified>
</cp:coreProperties>
</file>